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zcorra\Desktop\"/>
    </mc:Choice>
  </mc:AlternateContent>
  <xr:revisionPtr revIDLastSave="0" documentId="8_{489A07DD-583F-495C-B09A-F05440DC07D0}" xr6:coauthVersionLast="47" xr6:coauthVersionMax="47" xr10:uidLastSave="{00000000-0000-0000-0000-000000000000}"/>
  <bookViews>
    <workbookView xWindow="-120" yWindow="-120" windowWidth="29040" windowHeight="15840" firstSheet="1" activeTab="1" xr2:uid="{9E5E5A1A-1A31-45C6-AC1B-1A04FBA0F6E0}"/>
  </bookViews>
  <sheets>
    <sheet name="Hoja1" sheetId="1" r:id="rId1"/>
    <sheet name="Data" sheetId="2" r:id="rId2"/>
    <sheet name="Resultados" sheetId="3" r:id="rId3"/>
    <sheet name="VO2MAXElite" sheetId="5" r:id="rId4"/>
    <sheet name="VO2MAX" sheetId="4" r:id="rId5"/>
    <sheet name="ProbA" sheetId="6" r:id="rId6"/>
    <sheet name="KmSemanale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" l="1"/>
  <c r="B20" i="2" a="1"/>
  <c r="B20" i="2"/>
  <c r="B11" i="3" s="1"/>
  <c r="B19" i="2" a="1"/>
  <c r="B19" i="2"/>
  <c r="B10" i="3" s="1"/>
  <c r="B17" i="2" a="1"/>
  <c r="B17" i="2"/>
  <c r="B9" i="3" s="1"/>
  <c r="B16" i="2" a="1"/>
  <c r="B16" i="2"/>
  <c r="B8" i="3" s="1"/>
  <c r="B32" i="2" a="1"/>
  <c r="B32" i="2"/>
  <c r="B31" i="2" a="1"/>
  <c r="B31" i="2"/>
  <c r="B36" i="2"/>
  <c r="B21" i="2"/>
  <c r="C28" i="2"/>
  <c r="B7" i="3" s="1"/>
  <c r="B27" i="2"/>
  <c r="B30" i="2" s="1"/>
  <c r="B6" i="3" s="1"/>
  <c r="B61" i="2"/>
  <c r="B6" i="2"/>
  <c r="B64" i="2"/>
  <c r="B62" i="2"/>
  <c r="B57" i="2"/>
  <c r="B49" i="2"/>
  <c r="B48" i="2"/>
  <c r="B47" i="2"/>
  <c r="B46" i="2"/>
  <c r="B44" i="2"/>
  <c r="B45" i="2"/>
  <c r="B38" i="2"/>
  <c r="B35" i="2"/>
  <c r="C7" i="2"/>
  <c r="C6" i="2"/>
  <c r="C5" i="2"/>
  <c r="C4" i="2"/>
  <c r="C3" i="2"/>
  <c r="B56" i="2" s="1"/>
  <c r="C2" i="2"/>
  <c r="H112" i="1"/>
  <c r="H111" i="1"/>
  <c r="H109" i="1"/>
  <c r="B110" i="1"/>
  <c r="B103" i="1"/>
  <c r="H105" i="1"/>
  <c r="H102" i="1"/>
  <c r="B75" i="1"/>
  <c r="B68" i="1"/>
  <c r="B61" i="1"/>
  <c r="B54" i="1"/>
  <c r="H51" i="1"/>
  <c r="H52" i="1"/>
  <c r="H53" i="1"/>
  <c r="H55" i="1"/>
  <c r="H56" i="1"/>
  <c r="H60" i="1"/>
  <c r="H62" i="1"/>
  <c r="H63" i="1"/>
  <c r="H64" i="1"/>
  <c r="H67" i="1"/>
  <c r="H69" i="1"/>
  <c r="H70" i="1"/>
  <c r="H71" i="1"/>
  <c r="H74" i="1"/>
  <c r="H77" i="1"/>
  <c r="H80" i="1"/>
  <c r="B82" i="1"/>
  <c r="H82" i="1"/>
  <c r="H84" i="1"/>
  <c r="H87" i="1"/>
  <c r="H88" i="1"/>
  <c r="H90" i="1"/>
  <c r="H97" i="1"/>
  <c r="B89" i="1"/>
  <c r="B96" i="1"/>
  <c r="H99" i="1"/>
  <c r="H49" i="1"/>
  <c r="B5" i="1"/>
  <c r="B47" i="1"/>
  <c r="B40" i="1"/>
  <c r="H38" i="1"/>
  <c r="H43" i="1"/>
  <c r="H47" i="1"/>
  <c r="H48" i="1"/>
  <c r="B19" i="1"/>
  <c r="B26" i="1"/>
  <c r="B33" i="1"/>
  <c r="H10" i="1"/>
  <c r="H11" i="1"/>
  <c r="H12" i="1"/>
  <c r="H13" i="1"/>
  <c r="H18" i="1"/>
  <c r="H21" i="1"/>
  <c r="H22" i="1"/>
  <c r="H23" i="1"/>
  <c r="H24" i="1"/>
  <c r="H25" i="1"/>
  <c r="H26" i="1"/>
  <c r="H27" i="1"/>
  <c r="H29" i="1"/>
  <c r="H31" i="1"/>
  <c r="H32" i="1"/>
  <c r="H34" i="1"/>
  <c r="H35" i="1"/>
  <c r="H8" i="1"/>
  <c r="B12" i="1"/>
  <c r="B117" i="1"/>
  <c r="B124" i="1"/>
  <c r="B131" i="1"/>
  <c r="B3" i="3" l="1"/>
  <c r="B4" i="3"/>
  <c r="B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<sst xmlns="http://schemas.openxmlformats.org/spreadsheetml/2006/main" count="366" uniqueCount="153">
  <si>
    <t>Semana</t>
  </si>
  <si>
    <t>Fecha</t>
  </si>
  <si>
    <t>Día</t>
  </si>
  <si>
    <t>Tipo</t>
  </si>
  <si>
    <t>Km</t>
  </si>
  <si>
    <t>Tiempo</t>
  </si>
  <si>
    <t>Ritmo total</t>
  </si>
  <si>
    <t>Repeticiones</t>
  </si>
  <si>
    <t>Trabajo tiempo</t>
  </si>
  <si>
    <t>Trabajo distancia</t>
  </si>
  <si>
    <t>Ritmo (min/km)</t>
  </si>
  <si>
    <t>Lunes</t>
  </si>
  <si>
    <t>Martes</t>
  </si>
  <si>
    <t>Velocidad en media distancia</t>
  </si>
  <si>
    <t>Miércoles</t>
  </si>
  <si>
    <t>Descanso</t>
  </si>
  <si>
    <t>Jueves</t>
  </si>
  <si>
    <t>Intervalos progresivos</t>
  </si>
  <si>
    <t>Viernes</t>
  </si>
  <si>
    <t>Intervalos largos</t>
  </si>
  <si>
    <t>Sábado</t>
  </si>
  <si>
    <t>Mitad rápida / Mitad lento</t>
  </si>
  <si>
    <t>Domingo</t>
  </si>
  <si>
    <t>Rec activa</t>
  </si>
  <si>
    <t>A buen ritmo (playa)</t>
  </si>
  <si>
    <t>Intervalos largos rápidos</t>
  </si>
  <si>
    <t>Rec activa lerdo</t>
  </si>
  <si>
    <t>Subidas y bajadas</t>
  </si>
  <si>
    <t>Velocidad</t>
  </si>
  <si>
    <t>Velocidad en distancia</t>
  </si>
  <si>
    <t>10K rápido</t>
  </si>
  <si>
    <t>Media a ritmo fondo</t>
  </si>
  <si>
    <t xml:space="preserve">10K rápido </t>
  </si>
  <si>
    <t>10k en ritmo fondo</t>
  </si>
  <si>
    <t>Ritmo rapido en 15k</t>
  </si>
  <si>
    <t>Natación</t>
  </si>
  <si>
    <t>Rapido 10</t>
  </si>
  <si>
    <t>Tranqui 10</t>
  </si>
  <si>
    <t>Rapido 17</t>
  </si>
  <si>
    <t>Rapido 16</t>
  </si>
  <si>
    <t>Tranqui</t>
  </si>
  <si>
    <t>Carrera 10</t>
  </si>
  <si>
    <t>Bici</t>
  </si>
  <si>
    <t>Trnqui</t>
  </si>
  <si>
    <t>Traqui 8</t>
  </si>
  <si>
    <t>Fondo</t>
  </si>
  <si>
    <t>Rápido 20</t>
  </si>
  <si>
    <t>Gim</t>
  </si>
  <si>
    <t>Normal 8</t>
  </si>
  <si>
    <t>Carrera</t>
  </si>
  <si>
    <t>Tranqui 16</t>
  </si>
  <si>
    <t xml:space="preserve">Arranque </t>
  </si>
  <si>
    <t>Natacion</t>
  </si>
  <si>
    <t>Correr tranqui</t>
  </si>
  <si>
    <t>Gim + Nat + Correr?</t>
  </si>
  <si>
    <t>21k Carrera</t>
  </si>
  <si>
    <t>Rec</t>
  </si>
  <si>
    <t>Tranqui 17</t>
  </si>
  <si>
    <t>Datos</t>
  </si>
  <si>
    <t>Tiempo reloj</t>
  </si>
  <si>
    <t>Minutos</t>
  </si>
  <si>
    <t>Distancia (m)</t>
  </si>
  <si>
    <t>km</t>
  </si>
  <si>
    <t>Tiempo en 10k</t>
  </si>
  <si>
    <t>Pasadas de 200m</t>
  </si>
  <si>
    <t>Ritmo fondo</t>
  </si>
  <si>
    <t>Ritmo cómodo</t>
  </si>
  <si>
    <t>Ritmo promedio</t>
  </si>
  <si>
    <t>Máxima distancia corrida</t>
  </si>
  <si>
    <t>Distancia máxima diaria</t>
  </si>
  <si>
    <t>Distancia promedio diaria</t>
  </si>
  <si>
    <t>Distancia promedio semanal</t>
  </si>
  <si>
    <t>Edad</t>
  </si>
  <si>
    <t>Sexo</t>
  </si>
  <si>
    <t>Es Hombre?</t>
  </si>
  <si>
    <t>Peso</t>
  </si>
  <si>
    <t>Altura</t>
  </si>
  <si>
    <t>Bajo</t>
  </si>
  <si>
    <t>Normal</t>
  </si>
  <si>
    <t>Sobrepeso</t>
  </si>
  <si>
    <t>Obeso</t>
  </si>
  <si>
    <t>Años corriendo</t>
  </si>
  <si>
    <t>Porcentaje mejora pSE</t>
  </si>
  <si>
    <t>Porcentaje mejora Elite</t>
  </si>
  <si>
    <t>Km Semanales pSE</t>
  </si>
  <si>
    <t>Km Semanales Elite</t>
  </si>
  <si>
    <t>IMC</t>
  </si>
  <si>
    <t>Menor a 18,5</t>
  </si>
  <si>
    <t>Entre 18,5 y 24,9</t>
  </si>
  <si>
    <t>Entre 25 y 29,9</t>
  </si>
  <si>
    <t>Mayor a 30</t>
  </si>
  <si>
    <t>IMC ideal</t>
  </si>
  <si>
    <t>Entre 19 y 20,5 (elite) y entre 20 y 22 (Sub 3h)</t>
  </si>
  <si>
    <t>Promedio maratón NY 23.3</t>
  </si>
  <si>
    <t>RItmo estimado máximo</t>
  </si>
  <si>
    <t>Carrera más rápida (metros)</t>
  </si>
  <si>
    <t>Tiempo (en minutos)</t>
  </si>
  <si>
    <t>VO2max (Jack Daniels)</t>
  </si>
  <si>
    <t>ml/kg/min</t>
  </si>
  <si>
    <t>FC MAX</t>
  </si>
  <si>
    <t>(Estimado)</t>
  </si>
  <si>
    <t>FC MIN (reposo)</t>
  </si>
  <si>
    <t>VO2max (combinado)</t>
  </si>
  <si>
    <t>VO2max (prommaxsexed)</t>
  </si>
  <si>
    <t>VO2max (prommaxElite)</t>
  </si>
  <si>
    <t>Entrenamiento velocidad pasadas cortas (100-200m)</t>
  </si>
  <si>
    <t>Pasadas</t>
  </si>
  <si>
    <t>Ritmo</t>
  </si>
  <si>
    <t>Descanso intermedio</t>
  </si>
  <si>
    <t>1 minuto</t>
  </si>
  <si>
    <t>Ritmo descanso</t>
  </si>
  <si>
    <t>Siempre arranca con 2-4 km suaves en leve progresivo y se termina con ritmo suave (mínimo 2km)</t>
  </si>
  <si>
    <t>Objetivo: Mantener tiempo en pasadas de 200m disminuyendo 0.5-1segundo entre pasadas</t>
  </si>
  <si>
    <t>Entrenamiento tempo (en orden de ejecución)</t>
  </si>
  <si>
    <t>3-4km calentamiento suave</t>
  </si>
  <si>
    <t>Intervalo 1 kms:</t>
  </si>
  <si>
    <t>Intervalo 2 kms:</t>
  </si>
  <si>
    <t>Intervalo 3 kms:</t>
  </si>
  <si>
    <t>2-4km aflojando suave</t>
  </si>
  <si>
    <t>Entrenamiento cuestas</t>
  </si>
  <si>
    <t>Subo corriendo, bajo trote muy suave</t>
  </si>
  <si>
    <t>2-3km calentamiento suave</t>
  </si>
  <si>
    <t>Cuestas de 150 a 250m</t>
  </si>
  <si>
    <t>Cantidad</t>
  </si>
  <si>
    <t>Ritmo en subida (aprox)</t>
  </si>
  <si>
    <t>Entrenamiento pasadas largas (1000-1500m)</t>
  </si>
  <si>
    <t>1-2min</t>
  </si>
  <si>
    <t>2-3km aflojando suave</t>
  </si>
  <si>
    <t>Pasadas combinadas</t>
  </si>
  <si>
    <t>Resultados para ejecución de informe</t>
  </si>
  <si>
    <t>Column1</t>
  </si>
  <si>
    <t>(Negativo implica mejora frente a promedio)</t>
  </si>
  <si>
    <t>Posibilidad de mejora IMC pSE (kg/m2)</t>
  </si>
  <si>
    <t>X</t>
  </si>
  <si>
    <t>Posibilidad de mejora IMC Elite (kg/m2)</t>
  </si>
  <si>
    <t>Posibilidad de mejora en VO2MAX pSE (ml/kg/min)</t>
  </si>
  <si>
    <t>Posibilidad de mejora en VO2MAX Elite (ml/kg/min)</t>
  </si>
  <si>
    <t>Posibilidad de mejora en FCmax pSE (ppm)</t>
  </si>
  <si>
    <t>Posibilidad de mejora años entrenamiento pSE (%)</t>
  </si>
  <si>
    <t>Posibilidad de mejora años entrenamiento Elite (%)</t>
  </si>
  <si>
    <t>Posibilidad de mejora en Km Semanales sPE (km)</t>
  </si>
  <si>
    <t>Posibilidad de mejora en Km Semanales Elite (km)</t>
  </si>
  <si>
    <t>Hombres (ml/kg/min)</t>
  </si>
  <si>
    <t>Mujeres (ml/kg/min)</t>
  </si>
  <si>
    <t>Hombre</t>
  </si>
  <si>
    <t>Mujer</t>
  </si>
  <si>
    <t>Año</t>
  </si>
  <si>
    <t>Amateur (%)</t>
  </si>
  <si>
    <t>Élite (%)</t>
  </si>
  <si>
    <t>Hombres (km/semana)</t>
  </si>
  <si>
    <t>Hombres Élite (km/semana)</t>
  </si>
  <si>
    <t>Mujeres (km/semana)</t>
  </si>
  <si>
    <t>Mujeres Élite (km/semana)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</si>
</sst>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48"/>
      <color theme="4" tint="-0.249977111117893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20" fontId="0" fillId="0" borderId="0" xfId="0" applyNumberFormat="1"/>
    <xf numFmtId="14" fontId="0" fillId="6" borderId="0" xfId="0" applyNumberFormat="1" applyFill="1"/>
    <xf numFmtId="0" fontId="0" fillId="6" borderId="0" xfId="0" applyFill="1"/>
    <xf numFmtId="14" fontId="3" fillId="0" borderId="0" xfId="0" applyNumberFormat="1" applyFont="1"/>
    <xf numFmtId="0" fontId="0" fillId="0" borderId="0" xfId="0" applyNumberFormat="1"/>
    <xf numFmtId="45" fontId="0" fillId="0" borderId="0" xfId="0" applyNumberFormat="1"/>
    <xf numFmtId="0" fontId="4" fillId="0" borderId="0" xfId="0" applyFont="1"/>
    <xf numFmtId="0" fontId="0" fillId="0" borderId="0" xfId="0" applyFont="1"/>
    <xf numFmtId="0" fontId="0" fillId="7" borderId="0" xfId="0" applyFill="1"/>
    <xf numFmtId="45" fontId="0" fillId="7" borderId="0" xfId="0" applyNumberFormat="1" applyFill="1"/>
    <xf numFmtId="21" fontId="0" fillId="7" borderId="0" xfId="0" applyNumberFormat="1" applyFill="1"/>
    <xf numFmtId="0" fontId="4" fillId="8" borderId="0" xfId="0" applyFont="1" applyFill="1"/>
    <xf numFmtId="0" fontId="0" fillId="8" borderId="0" xfId="0" applyFill="1"/>
    <xf numFmtId="0" fontId="0" fillId="0" borderId="0" xfId="0" applyFill="1"/>
    <xf numFmtId="0" fontId="1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numFmt numFmtId="0" formatCode="General"/>
    </dxf>
    <dxf>
      <numFmt numFmtId="28" formatCode="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Hoja1!$A$5:$A$102</c:f>
              <c:numCache>
                <c:formatCode>General</c:formatCode>
                <c:ptCount val="98"/>
                <c:pt idx="0">
                  <c:v>19</c:v>
                </c:pt>
                <c:pt idx="7">
                  <c:v>18</c:v>
                </c:pt>
                <c:pt idx="14">
                  <c:v>17</c:v>
                </c:pt>
                <c:pt idx="21">
                  <c:v>16</c:v>
                </c:pt>
                <c:pt idx="28">
                  <c:v>15</c:v>
                </c:pt>
                <c:pt idx="35">
                  <c:v>14</c:v>
                </c:pt>
                <c:pt idx="42">
                  <c:v>13</c:v>
                </c:pt>
                <c:pt idx="49">
                  <c:v>12</c:v>
                </c:pt>
                <c:pt idx="56">
                  <c:v>11</c:v>
                </c:pt>
                <c:pt idx="63">
                  <c:v>10</c:v>
                </c:pt>
                <c:pt idx="70">
                  <c:v>9</c:v>
                </c:pt>
                <c:pt idx="77">
                  <c:v>8</c:v>
                </c:pt>
                <c:pt idx="84">
                  <c:v>7</c:v>
                </c:pt>
                <c:pt idx="9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9C-4BB0-A819-8C95420D6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5895175"/>
        <c:axId val="925897223"/>
      </c:lineChart>
      <c:catAx>
        <c:axId val="925895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897223"/>
        <c:crosses val="autoZero"/>
        <c:auto val="1"/>
        <c:lblAlgn val="ctr"/>
        <c:lblOffset val="100"/>
        <c:noMultiLvlLbl val="0"/>
      </c:catAx>
      <c:valAx>
        <c:axId val="925897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895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66675</xdr:colOff>
      <xdr:row>87</xdr:row>
      <xdr:rowOff>171450</xdr:rowOff>
    </xdr:from>
    <xdr:to>
      <xdr:col>18</xdr:col>
      <xdr:colOff>66675</xdr:colOff>
      <xdr:row>102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0CFF9E-259A-F291-2ED1-AFE4192F51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150812-F27F-42E4-90FF-795B92F5012C}" name="Table1" displayName="Table1" ref="A1:E6" totalsRowShown="0">
  <autoFilter ref="A1:E6" xr:uid="{69150812-F27F-42E4-90FF-795B92F5012C}"/>
  <tableColumns count="5">
    <tableColumn id="1" xr3:uid="{A28C8AAE-029A-4103-9B46-1F56F427B397}" name="Datos"/>
    <tableColumn id="2" xr3:uid="{A7281423-9897-4303-9E61-ADF4D4CA9E51}" name="Tiempo reloj" dataDxfId="1"/>
    <tableColumn id="3" xr3:uid="{B25CD924-A1FD-4694-817A-37FA85449837}" name="Minutos" dataDxfId="0">
      <calculatedColumnFormula>HOUR(B2)*60+MINUTE(B2)+SECOND(B2)/60</calculatedColumnFormula>
    </tableColumn>
    <tableColumn id="4" xr3:uid="{81CBD016-2CDD-4D31-BC28-600B2FC0AB75}" name="Distancia (m)"/>
    <tableColumn id="5" xr3:uid="{50F1EBCD-3C42-4320-9294-0598F20C4448}" name="km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E988E7-BC96-4CBB-AF09-67B84AC00270}" name="Table2" displayName="Table2" ref="A1:C11" totalsRowShown="0">
  <autoFilter ref="A1:C11" xr:uid="{9AE988E7-BC96-4CBB-AF09-67B84AC00270}"/>
  <tableColumns count="3">
    <tableColumn id="1" xr3:uid="{F283672F-F1FD-4CC5-9436-C9088E2E4348}" name="Resultados para ejecución de informe"/>
    <tableColumn id="2" xr3:uid="{5D53EEF1-48E0-465A-A98D-444985591CF4}" name="Column1"/>
    <tableColumn id="3" xr3:uid="{317F8848-37D0-4740-ADC2-7D3F8997AFE8}" name="(Negativo implica mejora frente a promedio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1F3A6-A574-4855-9B69-5F3E7647025C}">
  <dimension ref="A1:L139"/>
  <sheetViews>
    <sheetView zoomScaleNormal="100" workbookViewId="0">
      <pane ySplit="1" topLeftCell="E2" activePane="bottomLeft" state="frozen"/>
      <selection pane="bottomLeft" activeCell="H22" sqref="H22"/>
    </sheetView>
  </sheetViews>
  <sheetFormatPr defaultColWidth="11.42578125" defaultRowHeight="15"/>
  <cols>
    <col min="1" max="1" width="15.42578125" customWidth="1"/>
    <col min="2" max="2" width="21.5703125" customWidth="1"/>
    <col min="5" max="5" width="22.28515625" bestFit="1" customWidth="1"/>
    <col min="10" max="10" width="17.140625" customWidth="1"/>
    <col min="11" max="11" width="16.140625" bestFit="1" customWidth="1"/>
  </cols>
  <sheetData>
    <row r="1" spans="1:12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22</v>
      </c>
      <c r="B2">
        <v>55</v>
      </c>
    </row>
    <row r="3" spans="1:12">
      <c r="A3">
        <v>21</v>
      </c>
      <c r="B3">
        <v>65</v>
      </c>
    </row>
    <row r="4" spans="1:12">
      <c r="A4">
        <v>20</v>
      </c>
      <c r="B4">
        <v>73</v>
      </c>
    </row>
    <row r="5" spans="1:12">
      <c r="A5" s="19">
        <v>19</v>
      </c>
      <c r="B5" s="16">
        <f>SUM(F5:F11)</f>
        <v>67.25</v>
      </c>
      <c r="C5" s="1">
        <v>45264</v>
      </c>
      <c r="D5" s="1" t="s">
        <v>11</v>
      </c>
      <c r="F5">
        <v>8.25</v>
      </c>
      <c r="G5">
        <v>39</v>
      </c>
    </row>
    <row r="6" spans="1:12">
      <c r="A6" s="19"/>
      <c r="B6" s="16"/>
      <c r="C6" s="1">
        <v>45265</v>
      </c>
      <c r="D6" s="1" t="s">
        <v>12</v>
      </c>
      <c r="E6" t="s">
        <v>13</v>
      </c>
      <c r="F6">
        <v>12</v>
      </c>
      <c r="G6">
        <v>52</v>
      </c>
    </row>
    <row r="7" spans="1:12" ht="15" customHeight="1">
      <c r="A7" s="19"/>
      <c r="B7" s="16"/>
      <c r="C7" s="1">
        <v>45266</v>
      </c>
      <c r="D7" s="1" t="s">
        <v>14</v>
      </c>
      <c r="E7" s="1"/>
      <c r="F7" t="s">
        <v>15</v>
      </c>
    </row>
    <row r="8" spans="1:12" ht="15" customHeight="1">
      <c r="A8" s="19"/>
      <c r="B8" s="16"/>
      <c r="C8" s="1">
        <v>45267</v>
      </c>
      <c r="D8" s="1" t="s">
        <v>16</v>
      </c>
      <c r="E8" s="1" t="s">
        <v>17</v>
      </c>
      <c r="F8">
        <v>15</v>
      </c>
      <c r="H8">
        <f>G8/F8</f>
        <v>0</v>
      </c>
      <c r="I8">
        <v>8</v>
      </c>
      <c r="K8">
        <v>250</v>
      </c>
      <c r="L8" s="2">
        <v>0.1388888888888889</v>
      </c>
    </row>
    <row r="9" spans="1:12" ht="15" customHeight="1">
      <c r="A9" s="19"/>
      <c r="B9" s="16"/>
      <c r="C9" s="1">
        <v>45268</v>
      </c>
      <c r="D9" s="1" t="s">
        <v>18</v>
      </c>
      <c r="E9" s="1" t="s">
        <v>19</v>
      </c>
      <c r="F9" t="s">
        <v>15</v>
      </c>
    </row>
    <row r="10" spans="1:12" ht="15" customHeight="1">
      <c r="A10" s="19"/>
      <c r="B10" s="16"/>
      <c r="C10" s="1">
        <v>45269</v>
      </c>
      <c r="D10" s="1" t="s">
        <v>20</v>
      </c>
      <c r="E10" s="1" t="s">
        <v>21</v>
      </c>
      <c r="F10">
        <v>20</v>
      </c>
      <c r="G10">
        <v>92</v>
      </c>
      <c r="H10">
        <f t="shared" ref="H10:H50" si="0">G10/F10</f>
        <v>4.5999999999999996</v>
      </c>
    </row>
    <row r="11" spans="1:12" ht="15" customHeight="1">
      <c r="A11" s="19"/>
      <c r="B11" s="16"/>
      <c r="C11" s="1">
        <v>45270</v>
      </c>
      <c r="D11" s="1" t="s">
        <v>22</v>
      </c>
      <c r="E11" s="1" t="s">
        <v>23</v>
      </c>
      <c r="F11">
        <v>12</v>
      </c>
      <c r="G11">
        <v>60</v>
      </c>
      <c r="H11">
        <f t="shared" si="0"/>
        <v>5</v>
      </c>
    </row>
    <row r="12" spans="1:12">
      <c r="A12" s="17">
        <v>18</v>
      </c>
      <c r="B12" s="16">
        <f>SUM(F12:F18)</f>
        <v>44.739999999999995</v>
      </c>
      <c r="C12" s="1">
        <v>45271</v>
      </c>
      <c r="D12" s="1" t="s">
        <v>11</v>
      </c>
      <c r="E12" s="1" t="s">
        <v>24</v>
      </c>
      <c r="F12">
        <v>10.5</v>
      </c>
      <c r="G12">
        <v>48</v>
      </c>
      <c r="H12">
        <f t="shared" si="0"/>
        <v>4.5714285714285712</v>
      </c>
    </row>
    <row r="13" spans="1:12">
      <c r="A13" s="17"/>
      <c r="B13" s="16"/>
      <c r="C13" s="1">
        <v>45272</v>
      </c>
      <c r="D13" s="1" t="s">
        <v>12</v>
      </c>
      <c r="E13" s="1" t="s">
        <v>17</v>
      </c>
      <c r="F13">
        <v>21.24</v>
      </c>
      <c r="G13">
        <v>105</v>
      </c>
      <c r="H13">
        <f t="shared" si="0"/>
        <v>4.9435028248587578</v>
      </c>
    </row>
    <row r="14" spans="1:12">
      <c r="A14" s="17"/>
      <c r="B14" s="16"/>
      <c r="C14" s="1">
        <v>45273</v>
      </c>
      <c r="D14" s="1" t="s">
        <v>14</v>
      </c>
      <c r="E14" s="1" t="s">
        <v>15</v>
      </c>
    </row>
    <row r="15" spans="1:12">
      <c r="A15" s="17"/>
      <c r="B15" s="16"/>
      <c r="C15" s="1">
        <v>45274</v>
      </c>
      <c r="D15" s="1" t="s">
        <v>16</v>
      </c>
      <c r="E15" s="1" t="s">
        <v>15</v>
      </c>
    </row>
    <row r="16" spans="1:12">
      <c r="A16" s="17"/>
      <c r="B16" s="16"/>
      <c r="C16" s="1">
        <v>45275</v>
      </c>
      <c r="D16" s="1" t="s">
        <v>18</v>
      </c>
      <c r="E16" s="1" t="s">
        <v>15</v>
      </c>
    </row>
    <row r="17" spans="1:8">
      <c r="A17" s="17"/>
      <c r="B17" s="16"/>
      <c r="C17" s="1">
        <v>45276</v>
      </c>
      <c r="D17" s="1" t="s">
        <v>20</v>
      </c>
      <c r="E17" s="1" t="s">
        <v>15</v>
      </c>
    </row>
    <row r="18" spans="1:8">
      <c r="A18" s="17"/>
      <c r="B18" s="16"/>
      <c r="C18" s="1">
        <v>45277</v>
      </c>
      <c r="D18" s="1" t="s">
        <v>22</v>
      </c>
      <c r="E18" s="1" t="s">
        <v>25</v>
      </c>
      <c r="F18">
        <v>13</v>
      </c>
      <c r="G18">
        <v>60</v>
      </c>
      <c r="H18">
        <f t="shared" si="0"/>
        <v>4.615384615384615</v>
      </c>
    </row>
    <row r="19" spans="1:8" ht="15" customHeight="1">
      <c r="A19" s="19">
        <v>17</v>
      </c>
      <c r="B19" s="16">
        <f t="shared" ref="B19" si="1">SUM(F19:F25)</f>
        <v>51.830000000000005</v>
      </c>
      <c r="C19" s="1">
        <v>45278</v>
      </c>
      <c r="D19" s="1" t="s">
        <v>11</v>
      </c>
      <c r="E19" s="1" t="s">
        <v>15</v>
      </c>
    </row>
    <row r="20" spans="1:8" ht="15" customHeight="1">
      <c r="A20" s="19"/>
      <c r="B20" s="16"/>
      <c r="C20" s="1">
        <v>45279</v>
      </c>
      <c r="D20" s="1" t="s">
        <v>12</v>
      </c>
      <c r="E20" s="1" t="s">
        <v>15</v>
      </c>
    </row>
    <row r="21" spans="1:8" ht="15" customHeight="1">
      <c r="A21" s="19"/>
      <c r="B21" s="16"/>
      <c r="C21" s="1">
        <v>45280</v>
      </c>
      <c r="D21" s="1" t="s">
        <v>14</v>
      </c>
      <c r="E21" s="1" t="s">
        <v>23</v>
      </c>
      <c r="F21">
        <v>8</v>
      </c>
      <c r="G21">
        <v>36</v>
      </c>
      <c r="H21">
        <f t="shared" si="0"/>
        <v>4.5</v>
      </c>
    </row>
    <row r="22" spans="1:8" ht="15" customHeight="1">
      <c r="A22" s="19"/>
      <c r="B22" s="16"/>
      <c r="C22" s="1">
        <v>45281</v>
      </c>
      <c r="D22" s="1" t="s">
        <v>16</v>
      </c>
      <c r="E22" s="1" t="s">
        <v>26</v>
      </c>
      <c r="F22">
        <v>9.5</v>
      </c>
      <c r="G22">
        <v>49</v>
      </c>
      <c r="H22">
        <f t="shared" si="0"/>
        <v>5.1578947368421053</v>
      </c>
    </row>
    <row r="23" spans="1:8" ht="15" customHeight="1">
      <c r="A23" s="19"/>
      <c r="B23" s="16"/>
      <c r="C23" s="1">
        <v>45282</v>
      </c>
      <c r="D23" s="1" t="s">
        <v>18</v>
      </c>
      <c r="E23" s="1" t="s">
        <v>27</v>
      </c>
      <c r="F23">
        <v>15.23</v>
      </c>
      <c r="G23">
        <v>68</v>
      </c>
      <c r="H23">
        <f t="shared" si="0"/>
        <v>4.4648719632304656</v>
      </c>
    </row>
    <row r="24" spans="1:8" ht="15" customHeight="1">
      <c r="A24" s="19"/>
      <c r="B24" s="16"/>
      <c r="C24" s="1">
        <v>45283</v>
      </c>
      <c r="D24" s="1" t="s">
        <v>20</v>
      </c>
      <c r="E24" s="1" t="s">
        <v>28</v>
      </c>
      <c r="F24">
        <v>8</v>
      </c>
      <c r="G24">
        <v>34</v>
      </c>
      <c r="H24">
        <f t="shared" si="0"/>
        <v>4.25</v>
      </c>
    </row>
    <row r="25" spans="1:8" ht="15" customHeight="1">
      <c r="A25" s="19"/>
      <c r="B25" s="16"/>
      <c r="C25" s="1">
        <v>45284</v>
      </c>
      <c r="D25" s="1" t="s">
        <v>22</v>
      </c>
      <c r="E25" s="1" t="s">
        <v>23</v>
      </c>
      <c r="F25">
        <v>11.1</v>
      </c>
      <c r="G25">
        <v>49</v>
      </c>
      <c r="H25">
        <f t="shared" si="0"/>
        <v>4.4144144144144146</v>
      </c>
    </row>
    <row r="26" spans="1:8" ht="15" customHeight="1">
      <c r="A26" s="18">
        <v>16</v>
      </c>
      <c r="B26" s="16">
        <f t="shared" ref="B26" si="2">SUM(F26:F32)</f>
        <v>70.69</v>
      </c>
      <c r="C26" s="1">
        <v>45285</v>
      </c>
      <c r="D26" s="1" t="s">
        <v>11</v>
      </c>
      <c r="E26" s="1" t="s">
        <v>29</v>
      </c>
      <c r="F26">
        <v>17</v>
      </c>
      <c r="G26">
        <v>75</v>
      </c>
      <c r="H26">
        <f t="shared" si="0"/>
        <v>4.4117647058823533</v>
      </c>
    </row>
    <row r="27" spans="1:8" ht="15" customHeight="1">
      <c r="A27" s="18"/>
      <c r="B27" s="16"/>
      <c r="C27" s="1">
        <v>45286</v>
      </c>
      <c r="D27" s="1" t="s">
        <v>12</v>
      </c>
      <c r="E27" s="1" t="s">
        <v>30</v>
      </c>
      <c r="F27">
        <v>10.24</v>
      </c>
      <c r="G27">
        <v>40</v>
      </c>
      <c r="H27">
        <f t="shared" si="0"/>
        <v>3.90625</v>
      </c>
    </row>
    <row r="28" spans="1:8" ht="15" customHeight="1">
      <c r="A28" s="18"/>
      <c r="B28" s="16"/>
      <c r="C28" s="1">
        <v>45287</v>
      </c>
      <c r="D28" s="1" t="s">
        <v>14</v>
      </c>
      <c r="E28" s="1" t="s">
        <v>15</v>
      </c>
    </row>
    <row r="29" spans="1:8" ht="15" customHeight="1">
      <c r="A29" s="18"/>
      <c r="B29" s="16"/>
      <c r="C29" s="1">
        <v>45288</v>
      </c>
      <c r="D29" s="1" t="s">
        <v>16</v>
      </c>
      <c r="E29" s="1" t="s">
        <v>13</v>
      </c>
      <c r="F29">
        <v>15</v>
      </c>
      <c r="G29">
        <v>65</v>
      </c>
      <c r="H29">
        <f t="shared" si="0"/>
        <v>4.333333333333333</v>
      </c>
    </row>
    <row r="30" spans="1:8" ht="15" customHeight="1">
      <c r="A30" s="18"/>
      <c r="B30" s="16"/>
      <c r="C30" s="1">
        <v>45289</v>
      </c>
      <c r="D30" s="1" t="s">
        <v>18</v>
      </c>
      <c r="E30" s="1" t="s">
        <v>15</v>
      </c>
    </row>
    <row r="31" spans="1:8" ht="15" customHeight="1">
      <c r="A31" s="18"/>
      <c r="B31" s="16"/>
      <c r="C31" s="1">
        <v>45290</v>
      </c>
      <c r="D31" s="1" t="s">
        <v>20</v>
      </c>
      <c r="E31" s="1" t="s">
        <v>31</v>
      </c>
      <c r="F31">
        <v>21.2</v>
      </c>
      <c r="G31">
        <v>97</v>
      </c>
      <c r="H31">
        <f t="shared" si="0"/>
        <v>4.5754716981132075</v>
      </c>
    </row>
    <row r="32" spans="1:8" ht="15" customHeight="1">
      <c r="A32" s="18"/>
      <c r="B32" s="16"/>
      <c r="C32" s="1">
        <v>45291</v>
      </c>
      <c r="D32" s="1" t="s">
        <v>22</v>
      </c>
      <c r="E32" s="1" t="s">
        <v>26</v>
      </c>
      <c r="F32">
        <v>7.25</v>
      </c>
      <c r="G32">
        <v>38</v>
      </c>
      <c r="H32">
        <f t="shared" si="0"/>
        <v>5.2413793103448274</v>
      </c>
    </row>
    <row r="33" spans="1:8" ht="15" customHeight="1">
      <c r="A33" s="18">
        <v>15</v>
      </c>
      <c r="B33" s="16">
        <f t="shared" ref="B33" si="3">SUM(F33:F39)</f>
        <v>30.6</v>
      </c>
      <c r="C33" s="1">
        <v>45292</v>
      </c>
      <c r="D33" s="1" t="s">
        <v>11</v>
      </c>
      <c r="E33" s="1" t="s">
        <v>15</v>
      </c>
    </row>
    <row r="34" spans="1:8" ht="15" customHeight="1">
      <c r="A34" s="18"/>
      <c r="B34" s="16"/>
      <c r="C34" s="1">
        <v>45293</v>
      </c>
      <c r="D34" s="1" t="s">
        <v>12</v>
      </c>
      <c r="E34" s="1" t="s">
        <v>13</v>
      </c>
      <c r="F34">
        <v>15</v>
      </c>
      <c r="G34">
        <v>64</v>
      </c>
      <c r="H34">
        <f t="shared" si="0"/>
        <v>4.2666666666666666</v>
      </c>
    </row>
    <row r="35" spans="1:8" ht="15" customHeight="1">
      <c r="A35" s="18"/>
      <c r="B35" s="16"/>
      <c r="C35" s="1">
        <v>45294</v>
      </c>
      <c r="D35" s="1" t="s">
        <v>14</v>
      </c>
      <c r="E35" s="1" t="s">
        <v>23</v>
      </c>
      <c r="F35">
        <v>5.6</v>
      </c>
      <c r="G35">
        <v>25</v>
      </c>
      <c r="H35">
        <f t="shared" si="0"/>
        <v>4.4642857142857144</v>
      </c>
    </row>
    <row r="36" spans="1:8" ht="15" customHeight="1">
      <c r="A36" s="18"/>
      <c r="B36" s="16"/>
      <c r="C36" s="1">
        <v>45295</v>
      </c>
      <c r="D36" s="1" t="s">
        <v>16</v>
      </c>
      <c r="E36" s="1" t="s">
        <v>15</v>
      </c>
    </row>
    <row r="37" spans="1:8" ht="15" customHeight="1">
      <c r="A37" s="18"/>
      <c r="B37" s="16"/>
      <c r="C37" s="1">
        <v>45296</v>
      </c>
      <c r="D37" s="1" t="s">
        <v>18</v>
      </c>
      <c r="E37" s="1" t="s">
        <v>15</v>
      </c>
    </row>
    <row r="38" spans="1:8" ht="15" customHeight="1">
      <c r="A38" s="18"/>
      <c r="B38" s="16"/>
      <c r="C38" s="3">
        <v>45297</v>
      </c>
      <c r="D38" s="3" t="s">
        <v>20</v>
      </c>
      <c r="E38" s="3" t="s">
        <v>32</v>
      </c>
      <c r="F38" s="4">
        <v>10</v>
      </c>
      <c r="G38" s="4">
        <v>36</v>
      </c>
      <c r="H38" s="4">
        <f t="shared" si="0"/>
        <v>3.6</v>
      </c>
    </row>
    <row r="39" spans="1:8" ht="15" customHeight="1">
      <c r="A39" s="18"/>
      <c r="B39" s="16"/>
      <c r="C39" s="1">
        <v>45298</v>
      </c>
      <c r="D39" s="1" t="s">
        <v>22</v>
      </c>
      <c r="E39" s="1" t="s">
        <v>15</v>
      </c>
    </row>
    <row r="40" spans="1:8" ht="15" customHeight="1">
      <c r="A40" s="19">
        <v>14</v>
      </c>
      <c r="B40" s="16">
        <f t="shared" ref="B40" si="4">SUM(F40:F46)</f>
        <v>14.6</v>
      </c>
      <c r="C40" s="1">
        <v>45299</v>
      </c>
      <c r="D40" s="1" t="s">
        <v>11</v>
      </c>
      <c r="E40" s="1" t="s">
        <v>15</v>
      </c>
    </row>
    <row r="41" spans="1:8" ht="15" customHeight="1">
      <c r="A41" s="19"/>
      <c r="B41" s="16"/>
      <c r="C41" s="1">
        <v>45300</v>
      </c>
      <c r="D41" s="1" t="s">
        <v>12</v>
      </c>
      <c r="E41" s="1" t="s">
        <v>15</v>
      </c>
    </row>
    <row r="42" spans="1:8" ht="15" customHeight="1">
      <c r="A42" s="19"/>
      <c r="B42" s="16"/>
      <c r="C42" s="1">
        <v>45301</v>
      </c>
      <c r="D42" s="1" t="s">
        <v>14</v>
      </c>
      <c r="E42" s="1" t="s">
        <v>15</v>
      </c>
    </row>
    <row r="43" spans="1:8" ht="15" customHeight="1">
      <c r="A43" s="19"/>
      <c r="B43" s="16"/>
      <c r="C43" s="1">
        <v>45302</v>
      </c>
      <c r="D43" s="1" t="s">
        <v>16</v>
      </c>
      <c r="E43" s="1" t="s">
        <v>26</v>
      </c>
      <c r="F43">
        <v>14.6</v>
      </c>
      <c r="G43">
        <v>68</v>
      </c>
      <c r="H43">
        <f t="shared" si="0"/>
        <v>4.6575342465753424</v>
      </c>
    </row>
    <row r="44" spans="1:8" ht="15" customHeight="1">
      <c r="A44" s="19"/>
      <c r="B44" s="16"/>
      <c r="C44" s="1">
        <v>45303</v>
      </c>
      <c r="D44" s="1" t="s">
        <v>18</v>
      </c>
      <c r="E44" s="1" t="s">
        <v>15</v>
      </c>
    </row>
    <row r="45" spans="1:8" ht="15" customHeight="1">
      <c r="A45" s="19"/>
      <c r="B45" s="16"/>
      <c r="C45" s="1">
        <v>45304</v>
      </c>
      <c r="D45" s="1" t="s">
        <v>20</v>
      </c>
      <c r="E45" s="1" t="s">
        <v>15</v>
      </c>
    </row>
    <row r="46" spans="1:8" ht="15" customHeight="1">
      <c r="A46" s="19"/>
      <c r="B46" s="16"/>
      <c r="C46" s="1">
        <v>45305</v>
      </c>
      <c r="D46" s="1" t="s">
        <v>22</v>
      </c>
      <c r="E46" s="1" t="s">
        <v>15</v>
      </c>
    </row>
    <row r="47" spans="1:8" ht="15" customHeight="1">
      <c r="A47" s="17">
        <v>13</v>
      </c>
      <c r="B47" s="16">
        <f t="shared" ref="B47" si="5">SUM(F47:F53)</f>
        <v>75</v>
      </c>
      <c r="C47" s="1">
        <v>45306</v>
      </c>
      <c r="D47" s="1" t="s">
        <v>11</v>
      </c>
      <c r="E47" s="1" t="s">
        <v>26</v>
      </c>
      <c r="F47">
        <v>13</v>
      </c>
      <c r="G47">
        <v>58</v>
      </c>
      <c r="H47">
        <f t="shared" si="0"/>
        <v>4.4615384615384617</v>
      </c>
    </row>
    <row r="48" spans="1:8" ht="15" customHeight="1">
      <c r="A48" s="17"/>
      <c r="B48" s="16"/>
      <c r="C48" s="1">
        <v>45307</v>
      </c>
      <c r="D48" s="1" t="s">
        <v>12</v>
      </c>
      <c r="E48" s="5" t="s">
        <v>33</v>
      </c>
      <c r="F48">
        <v>10</v>
      </c>
      <c r="G48">
        <v>45</v>
      </c>
      <c r="H48">
        <f t="shared" si="0"/>
        <v>4.5</v>
      </c>
    </row>
    <row r="49" spans="1:8" ht="15" customHeight="1">
      <c r="A49" s="17"/>
      <c r="B49" s="16"/>
      <c r="C49" s="1">
        <v>45308</v>
      </c>
      <c r="D49" s="1" t="s">
        <v>14</v>
      </c>
      <c r="E49" s="1" t="s">
        <v>34</v>
      </c>
      <c r="F49">
        <v>15</v>
      </c>
      <c r="G49">
        <v>67</v>
      </c>
      <c r="H49">
        <f t="shared" si="0"/>
        <v>4.4666666666666668</v>
      </c>
    </row>
    <row r="50" spans="1:8" ht="15" customHeight="1">
      <c r="A50" s="17"/>
      <c r="B50" s="16"/>
      <c r="C50" s="1">
        <v>45309</v>
      </c>
      <c r="D50" s="1" t="s">
        <v>16</v>
      </c>
      <c r="E50" s="1" t="s">
        <v>35</v>
      </c>
    </row>
    <row r="51" spans="1:8" ht="15" customHeight="1">
      <c r="A51" s="17"/>
      <c r="B51" s="16"/>
      <c r="C51" s="1">
        <v>45310</v>
      </c>
      <c r="D51" s="1" t="s">
        <v>18</v>
      </c>
      <c r="E51" s="1" t="s">
        <v>36</v>
      </c>
      <c r="F51">
        <v>10</v>
      </c>
      <c r="G51">
        <v>42</v>
      </c>
      <c r="H51">
        <f t="shared" ref="H51:H56" si="6">G51/F51</f>
        <v>4.2</v>
      </c>
    </row>
    <row r="52" spans="1:8" ht="15" customHeight="1">
      <c r="A52" s="17"/>
      <c r="B52" s="16"/>
      <c r="C52" s="1">
        <v>45311</v>
      </c>
      <c r="D52" s="1" t="s">
        <v>20</v>
      </c>
      <c r="E52" s="1" t="s">
        <v>37</v>
      </c>
      <c r="F52">
        <v>10</v>
      </c>
      <c r="G52">
        <v>47</v>
      </c>
      <c r="H52">
        <f t="shared" si="6"/>
        <v>4.7</v>
      </c>
    </row>
    <row r="53" spans="1:8" ht="15" customHeight="1">
      <c r="A53" s="17"/>
      <c r="B53" s="16"/>
      <c r="C53" s="1">
        <v>45312</v>
      </c>
      <c r="D53" s="1" t="s">
        <v>22</v>
      </c>
      <c r="E53" s="1" t="s">
        <v>38</v>
      </c>
      <c r="F53">
        <v>17</v>
      </c>
      <c r="G53">
        <v>73</v>
      </c>
      <c r="H53">
        <f t="shared" si="6"/>
        <v>4.2941176470588234</v>
      </c>
    </row>
    <row r="54" spans="1:8" ht="15" customHeight="1">
      <c r="A54" s="19">
        <v>12</v>
      </c>
      <c r="B54" s="16">
        <f t="shared" ref="B54" si="7">SUM(F54:F60)</f>
        <v>30.5</v>
      </c>
      <c r="C54" s="1">
        <v>45313</v>
      </c>
      <c r="D54" s="1" t="s">
        <v>11</v>
      </c>
      <c r="E54" s="1" t="s">
        <v>15</v>
      </c>
    </row>
    <row r="55" spans="1:8" ht="15" customHeight="1">
      <c r="A55" s="19"/>
      <c r="B55" s="16"/>
      <c r="C55" s="1">
        <v>45314</v>
      </c>
      <c r="D55" s="1" t="s">
        <v>12</v>
      </c>
      <c r="E55" s="1" t="s">
        <v>39</v>
      </c>
      <c r="F55">
        <v>11</v>
      </c>
      <c r="G55">
        <v>47</v>
      </c>
      <c r="H55">
        <f t="shared" si="6"/>
        <v>4.2727272727272725</v>
      </c>
    </row>
    <row r="56" spans="1:8" ht="15" customHeight="1">
      <c r="A56" s="19"/>
      <c r="B56" s="16"/>
      <c r="C56" s="1">
        <v>45315</v>
      </c>
      <c r="D56" s="1" t="s">
        <v>14</v>
      </c>
      <c r="E56" s="1" t="s">
        <v>40</v>
      </c>
      <c r="F56">
        <v>7.5</v>
      </c>
      <c r="G56">
        <v>35</v>
      </c>
      <c r="H56">
        <f t="shared" si="6"/>
        <v>4.666666666666667</v>
      </c>
    </row>
    <row r="57" spans="1:8" ht="15" customHeight="1">
      <c r="A57" s="19"/>
      <c r="B57" s="16"/>
      <c r="C57" s="1">
        <v>45316</v>
      </c>
      <c r="D57" s="1" t="s">
        <v>16</v>
      </c>
      <c r="E57" s="1" t="s">
        <v>15</v>
      </c>
    </row>
    <row r="58" spans="1:8" ht="15" customHeight="1">
      <c r="A58" s="19"/>
      <c r="B58" s="16"/>
      <c r="C58" s="1">
        <v>45317</v>
      </c>
      <c r="D58" s="1" t="s">
        <v>18</v>
      </c>
      <c r="E58" s="1" t="s">
        <v>15</v>
      </c>
    </row>
    <row r="59" spans="1:8" ht="15" customHeight="1">
      <c r="A59" s="19"/>
      <c r="B59" s="16"/>
      <c r="C59" s="1">
        <v>45318</v>
      </c>
      <c r="D59" s="1" t="s">
        <v>20</v>
      </c>
      <c r="E59" s="1" t="s">
        <v>40</v>
      </c>
      <c r="F59">
        <v>2</v>
      </c>
    </row>
    <row r="60" spans="1:8" ht="15" customHeight="1">
      <c r="A60" s="19"/>
      <c r="B60" s="16"/>
      <c r="C60" s="1">
        <v>45319</v>
      </c>
      <c r="D60" s="1" t="s">
        <v>22</v>
      </c>
      <c r="E60" s="1" t="s">
        <v>41</v>
      </c>
      <c r="F60">
        <v>10</v>
      </c>
      <c r="G60">
        <v>37</v>
      </c>
      <c r="H60">
        <f t="shared" ref="H60:H64" si="8">G60/F60</f>
        <v>3.7</v>
      </c>
    </row>
    <row r="61" spans="1:8" ht="15" customHeight="1">
      <c r="A61" s="18">
        <v>11</v>
      </c>
      <c r="B61" s="16">
        <f t="shared" ref="B61" si="9">SUM(F61:F67)</f>
        <v>49</v>
      </c>
      <c r="C61" s="1">
        <v>45320</v>
      </c>
      <c r="D61" s="1" t="s">
        <v>11</v>
      </c>
      <c r="E61" s="1" t="s">
        <v>42</v>
      </c>
    </row>
    <row r="62" spans="1:8" ht="15" customHeight="1">
      <c r="A62" s="18"/>
      <c r="B62" s="16"/>
      <c r="C62" s="1">
        <v>45321</v>
      </c>
      <c r="D62" s="1" t="s">
        <v>12</v>
      </c>
      <c r="E62" s="1" t="s">
        <v>39</v>
      </c>
      <c r="F62">
        <v>9</v>
      </c>
      <c r="G62">
        <v>39</v>
      </c>
      <c r="H62">
        <f t="shared" si="8"/>
        <v>4.333333333333333</v>
      </c>
    </row>
    <row r="63" spans="1:8" ht="15" customHeight="1">
      <c r="A63" s="18"/>
      <c r="B63" s="16"/>
      <c r="C63" s="1">
        <v>45322</v>
      </c>
      <c r="D63" s="1" t="s">
        <v>14</v>
      </c>
      <c r="E63" s="1" t="s">
        <v>39</v>
      </c>
      <c r="F63">
        <v>13</v>
      </c>
      <c r="G63">
        <v>56</v>
      </c>
      <c r="H63">
        <f t="shared" si="8"/>
        <v>4.3076923076923075</v>
      </c>
    </row>
    <row r="64" spans="1:8" ht="15" customHeight="1">
      <c r="A64" s="18"/>
      <c r="B64" s="16"/>
      <c r="C64" s="1">
        <v>45323</v>
      </c>
      <c r="D64" s="1" t="s">
        <v>16</v>
      </c>
      <c r="E64" s="1" t="s">
        <v>40</v>
      </c>
      <c r="F64">
        <v>6</v>
      </c>
      <c r="G64">
        <v>28</v>
      </c>
      <c r="H64">
        <f t="shared" si="8"/>
        <v>4.666666666666667</v>
      </c>
    </row>
    <row r="65" spans="1:8" ht="15" customHeight="1">
      <c r="A65" s="18"/>
      <c r="B65" s="16"/>
      <c r="C65" s="1">
        <v>45324</v>
      </c>
      <c r="D65" s="1" t="s">
        <v>18</v>
      </c>
      <c r="E65" s="1" t="s">
        <v>15</v>
      </c>
    </row>
    <row r="66" spans="1:8" ht="15" customHeight="1">
      <c r="A66" s="18"/>
      <c r="B66" s="16"/>
      <c r="C66" s="1">
        <v>45325</v>
      </c>
      <c r="D66" s="1" t="s">
        <v>20</v>
      </c>
      <c r="E66" s="1" t="s">
        <v>35</v>
      </c>
    </row>
    <row r="67" spans="1:8" ht="15" customHeight="1">
      <c r="A67" s="18"/>
      <c r="B67" s="16"/>
      <c r="C67" s="1">
        <v>45326</v>
      </c>
      <c r="D67" s="1" t="s">
        <v>22</v>
      </c>
      <c r="E67" s="1" t="s">
        <v>43</v>
      </c>
      <c r="F67">
        <v>21</v>
      </c>
      <c r="G67">
        <v>95</v>
      </c>
      <c r="H67">
        <f t="shared" ref="H67:H71" si="10">G67/F67</f>
        <v>4.5238095238095237</v>
      </c>
    </row>
    <row r="68" spans="1:8" ht="15" customHeight="1">
      <c r="A68" s="19">
        <v>10</v>
      </c>
      <c r="B68" s="16">
        <f t="shared" ref="B68" si="11">SUM(F68:F74)</f>
        <v>54</v>
      </c>
      <c r="C68" s="1">
        <v>45327</v>
      </c>
      <c r="D68" s="1" t="s">
        <v>11</v>
      </c>
      <c r="E68" s="1" t="s">
        <v>15</v>
      </c>
    </row>
    <row r="69" spans="1:8" ht="15" customHeight="1">
      <c r="A69" s="19"/>
      <c r="B69" s="16"/>
      <c r="C69" s="1">
        <v>45328</v>
      </c>
      <c r="D69" s="1" t="s">
        <v>12</v>
      </c>
      <c r="E69" s="1" t="s">
        <v>37</v>
      </c>
      <c r="F69">
        <v>10</v>
      </c>
      <c r="G69">
        <v>47</v>
      </c>
      <c r="H69">
        <f t="shared" si="10"/>
        <v>4.7</v>
      </c>
    </row>
    <row r="70" spans="1:8" ht="15" customHeight="1">
      <c r="A70" s="19"/>
      <c r="B70" s="16"/>
      <c r="C70" s="1">
        <v>45329</v>
      </c>
      <c r="D70" s="1" t="s">
        <v>14</v>
      </c>
      <c r="E70" s="1" t="s">
        <v>37</v>
      </c>
      <c r="F70">
        <v>10</v>
      </c>
      <c r="G70">
        <v>47</v>
      </c>
      <c r="H70">
        <f t="shared" si="10"/>
        <v>4.7</v>
      </c>
    </row>
    <row r="71" spans="1:8" ht="15" customHeight="1">
      <c r="A71" s="19"/>
      <c r="B71" s="16"/>
      <c r="C71" s="1">
        <v>45330</v>
      </c>
      <c r="D71" s="1" t="s">
        <v>16</v>
      </c>
      <c r="E71" s="1" t="s">
        <v>44</v>
      </c>
      <c r="F71">
        <v>8</v>
      </c>
      <c r="G71">
        <v>38</v>
      </c>
      <c r="H71">
        <f t="shared" si="10"/>
        <v>4.75</v>
      </c>
    </row>
    <row r="72" spans="1:8" ht="15" customHeight="1">
      <c r="A72" s="19"/>
      <c r="B72" s="16"/>
      <c r="C72" s="1">
        <v>45331</v>
      </c>
      <c r="D72" s="1" t="s">
        <v>18</v>
      </c>
      <c r="E72" s="1" t="s">
        <v>15</v>
      </c>
    </row>
    <row r="73" spans="1:8" ht="15" customHeight="1">
      <c r="A73" s="19"/>
      <c r="B73" s="16"/>
      <c r="C73" s="1">
        <v>45332</v>
      </c>
      <c r="D73" s="1" t="s">
        <v>20</v>
      </c>
      <c r="E73" s="1" t="s">
        <v>15</v>
      </c>
    </row>
    <row r="74" spans="1:8" ht="15" customHeight="1">
      <c r="A74" s="19"/>
      <c r="B74" s="16"/>
      <c r="C74" s="1">
        <v>45333</v>
      </c>
      <c r="D74" s="1" t="s">
        <v>22</v>
      </c>
      <c r="E74" s="1" t="s">
        <v>45</v>
      </c>
      <c r="F74">
        <v>26</v>
      </c>
      <c r="G74">
        <v>115</v>
      </c>
      <c r="H74">
        <f t="shared" ref="H74" si="12">G74/F74</f>
        <v>4.4230769230769234</v>
      </c>
    </row>
    <row r="75" spans="1:8" ht="15" customHeight="1">
      <c r="A75" s="17">
        <v>9</v>
      </c>
      <c r="B75" s="16">
        <f t="shared" ref="B75" si="13">SUM(F75:F81)</f>
        <v>40</v>
      </c>
      <c r="C75" s="1">
        <v>45334</v>
      </c>
      <c r="D75" s="1" t="s">
        <v>11</v>
      </c>
      <c r="E75" s="1" t="s">
        <v>15</v>
      </c>
    </row>
    <row r="76" spans="1:8" ht="15" customHeight="1">
      <c r="A76" s="17"/>
      <c r="B76" s="16"/>
      <c r="C76" s="1">
        <v>45335</v>
      </c>
      <c r="D76" s="1" t="s">
        <v>12</v>
      </c>
      <c r="E76" s="1" t="s">
        <v>15</v>
      </c>
    </row>
    <row r="77" spans="1:8" ht="15" customHeight="1">
      <c r="A77" s="17"/>
      <c r="B77" s="16"/>
      <c r="C77" s="1">
        <v>45336</v>
      </c>
      <c r="D77" s="1" t="s">
        <v>14</v>
      </c>
      <c r="E77" s="1" t="s">
        <v>46</v>
      </c>
      <c r="F77">
        <v>20</v>
      </c>
      <c r="G77">
        <v>83</v>
      </c>
      <c r="H77">
        <f t="shared" ref="H77" si="14">G77/F77</f>
        <v>4.1500000000000004</v>
      </c>
    </row>
    <row r="78" spans="1:8" ht="15" customHeight="1">
      <c r="A78" s="17"/>
      <c r="B78" s="16"/>
      <c r="C78" s="1">
        <v>45337</v>
      </c>
      <c r="D78" s="1" t="s">
        <v>16</v>
      </c>
      <c r="E78" s="1" t="s">
        <v>15</v>
      </c>
    </row>
    <row r="79" spans="1:8" ht="15" customHeight="1">
      <c r="A79" s="17"/>
      <c r="B79" s="16"/>
      <c r="C79" s="1">
        <v>45338</v>
      </c>
      <c r="D79" s="1" t="s">
        <v>18</v>
      </c>
      <c r="E79" s="1" t="s">
        <v>47</v>
      </c>
    </row>
    <row r="80" spans="1:8" ht="15" customHeight="1">
      <c r="A80" s="17"/>
      <c r="B80" s="16"/>
      <c r="C80" s="1">
        <v>45339</v>
      </c>
      <c r="D80" s="1" t="s">
        <v>20</v>
      </c>
      <c r="E80" s="1" t="s">
        <v>46</v>
      </c>
      <c r="F80">
        <v>20</v>
      </c>
      <c r="G80">
        <v>91</v>
      </c>
      <c r="H80">
        <f t="shared" ref="H80:H84" si="15">G80/F80</f>
        <v>4.55</v>
      </c>
    </row>
    <row r="81" spans="1:8" ht="15" customHeight="1">
      <c r="A81" s="17"/>
      <c r="B81" s="16"/>
      <c r="C81" s="1">
        <v>45340</v>
      </c>
      <c r="D81" s="1" t="s">
        <v>22</v>
      </c>
      <c r="E81" s="1" t="s">
        <v>35</v>
      </c>
    </row>
    <row r="82" spans="1:8" ht="15" customHeight="1">
      <c r="A82" s="19">
        <v>8</v>
      </c>
      <c r="B82" s="16">
        <f>SUM(F82:F88)</f>
        <v>50</v>
      </c>
      <c r="C82" s="1">
        <v>45341</v>
      </c>
      <c r="D82" s="1" t="s">
        <v>11</v>
      </c>
      <c r="E82" s="1" t="s">
        <v>48</v>
      </c>
      <c r="F82">
        <v>8</v>
      </c>
      <c r="G82">
        <v>37</v>
      </c>
      <c r="H82">
        <f t="shared" si="15"/>
        <v>4.625</v>
      </c>
    </row>
    <row r="83" spans="1:8" ht="15" customHeight="1">
      <c r="A83" s="19"/>
      <c r="B83" s="16"/>
      <c r="C83" s="1">
        <v>45342</v>
      </c>
      <c r="D83" s="1" t="s">
        <v>12</v>
      </c>
      <c r="E83" s="1" t="s">
        <v>15</v>
      </c>
    </row>
    <row r="84" spans="1:8" ht="15" customHeight="1">
      <c r="A84" s="19"/>
      <c r="B84" s="16"/>
      <c r="C84" s="1">
        <v>45343</v>
      </c>
      <c r="D84" s="1" t="s">
        <v>14</v>
      </c>
      <c r="E84" s="1" t="s">
        <v>39</v>
      </c>
      <c r="F84">
        <v>16</v>
      </c>
      <c r="G84">
        <v>65</v>
      </c>
      <c r="H84">
        <f t="shared" si="15"/>
        <v>4.0625</v>
      </c>
    </row>
    <row r="85" spans="1:8" ht="15" customHeight="1">
      <c r="A85" s="19"/>
      <c r="B85" s="16"/>
      <c r="C85" s="1">
        <v>45344</v>
      </c>
      <c r="D85" s="1" t="s">
        <v>16</v>
      </c>
      <c r="E85" s="1" t="s">
        <v>15</v>
      </c>
    </row>
    <row r="86" spans="1:8" ht="15" customHeight="1">
      <c r="A86" s="19"/>
      <c r="B86" s="16"/>
      <c r="C86" s="1">
        <v>45345</v>
      </c>
      <c r="D86" s="1" t="s">
        <v>18</v>
      </c>
      <c r="E86" s="1" t="s">
        <v>15</v>
      </c>
    </row>
    <row r="87" spans="1:8" ht="15" customHeight="1">
      <c r="A87" s="19"/>
      <c r="B87" s="16"/>
      <c r="C87" s="1">
        <v>45346</v>
      </c>
      <c r="D87" s="1" t="s">
        <v>20</v>
      </c>
      <c r="E87" s="1" t="s">
        <v>49</v>
      </c>
      <c r="F87">
        <v>10</v>
      </c>
      <c r="G87">
        <v>38</v>
      </c>
      <c r="H87">
        <f t="shared" ref="H87:H90" si="16">G87/F87</f>
        <v>3.8</v>
      </c>
    </row>
    <row r="88" spans="1:8" ht="15" customHeight="1">
      <c r="A88" s="19"/>
      <c r="B88" s="16"/>
      <c r="C88" s="1">
        <v>45347</v>
      </c>
      <c r="D88" s="1" t="s">
        <v>22</v>
      </c>
      <c r="E88" s="1" t="s">
        <v>50</v>
      </c>
      <c r="F88">
        <v>16</v>
      </c>
      <c r="G88">
        <v>73</v>
      </c>
      <c r="H88">
        <f t="shared" si="16"/>
        <v>4.5625</v>
      </c>
    </row>
    <row r="89" spans="1:8" ht="15" customHeight="1">
      <c r="A89" s="18">
        <v>7</v>
      </c>
      <c r="B89" s="16">
        <f>SUM(F89:F95)</f>
        <v>16</v>
      </c>
      <c r="C89" s="1">
        <v>45348</v>
      </c>
      <c r="D89" s="1" t="s">
        <v>11</v>
      </c>
      <c r="E89" s="1" t="s">
        <v>15</v>
      </c>
    </row>
    <row r="90" spans="1:8" ht="15" customHeight="1">
      <c r="A90" s="18"/>
      <c r="B90" s="16"/>
      <c r="C90" s="1">
        <v>45349</v>
      </c>
      <c r="D90" s="1" t="s">
        <v>12</v>
      </c>
      <c r="E90" s="1" t="s">
        <v>39</v>
      </c>
      <c r="F90">
        <v>16</v>
      </c>
      <c r="G90">
        <v>69</v>
      </c>
      <c r="H90">
        <f t="shared" si="16"/>
        <v>4.3125</v>
      </c>
    </row>
    <row r="91" spans="1:8" ht="15" customHeight="1">
      <c r="A91" s="18"/>
      <c r="B91" s="16"/>
      <c r="C91" s="1">
        <v>45350</v>
      </c>
      <c r="D91" s="1" t="s">
        <v>14</v>
      </c>
      <c r="E91" s="1" t="s">
        <v>15</v>
      </c>
    </row>
    <row r="92" spans="1:8" ht="15" customHeight="1">
      <c r="A92" s="18"/>
      <c r="B92" s="16"/>
      <c r="C92" s="1">
        <v>45351</v>
      </c>
      <c r="D92" s="1" t="s">
        <v>16</v>
      </c>
      <c r="E92" s="1" t="s">
        <v>15</v>
      </c>
    </row>
    <row r="93" spans="1:8" ht="15" customHeight="1">
      <c r="A93" s="18"/>
      <c r="B93" s="16"/>
      <c r="C93" s="1">
        <v>45352</v>
      </c>
      <c r="D93" s="1" t="s">
        <v>18</v>
      </c>
      <c r="E93" s="1" t="s">
        <v>15</v>
      </c>
    </row>
    <row r="94" spans="1:8" ht="15" customHeight="1">
      <c r="A94" s="18"/>
      <c r="B94" s="16"/>
      <c r="C94" s="1">
        <v>45353</v>
      </c>
      <c r="D94" s="1" t="s">
        <v>20</v>
      </c>
      <c r="E94" s="1" t="s">
        <v>15</v>
      </c>
    </row>
    <row r="95" spans="1:8" ht="15" customHeight="1">
      <c r="A95" s="18"/>
      <c r="B95" s="16"/>
      <c r="C95" s="1">
        <v>45354</v>
      </c>
      <c r="D95" s="1" t="s">
        <v>22</v>
      </c>
      <c r="E95" s="1" t="s">
        <v>35</v>
      </c>
    </row>
    <row r="96" spans="1:8" ht="15" customHeight="1">
      <c r="A96" s="19">
        <v>6</v>
      </c>
      <c r="B96" s="16">
        <f>SUM(F96:F102)</f>
        <v>58.5</v>
      </c>
      <c r="C96" s="1">
        <v>45355</v>
      </c>
      <c r="D96" s="1" t="s">
        <v>11</v>
      </c>
      <c r="E96" s="1" t="s">
        <v>15</v>
      </c>
    </row>
    <row r="97" spans="1:8" ht="15" customHeight="1">
      <c r="A97" s="19"/>
      <c r="B97" s="16"/>
      <c r="C97" s="1">
        <v>45356</v>
      </c>
      <c r="D97" s="1" t="s">
        <v>12</v>
      </c>
      <c r="E97" s="1" t="s">
        <v>51</v>
      </c>
      <c r="F97">
        <v>10</v>
      </c>
      <c r="G97">
        <v>45</v>
      </c>
      <c r="H97">
        <f t="shared" ref="H97:H99" si="17">G97/F97</f>
        <v>4.5</v>
      </c>
    </row>
    <row r="98" spans="1:8" ht="15" customHeight="1">
      <c r="A98" s="19"/>
      <c r="B98" s="16"/>
      <c r="C98" s="1">
        <v>45357</v>
      </c>
      <c r="D98" s="1" t="s">
        <v>14</v>
      </c>
      <c r="E98" s="1" t="s">
        <v>15</v>
      </c>
    </row>
    <row r="99" spans="1:8" ht="15" customHeight="1">
      <c r="A99" s="19"/>
      <c r="B99" s="16"/>
      <c r="C99" s="1">
        <v>45358</v>
      </c>
      <c r="D99" s="1" t="s">
        <v>16</v>
      </c>
      <c r="E99" s="1" t="s">
        <v>31</v>
      </c>
      <c r="F99">
        <v>26</v>
      </c>
      <c r="G99">
        <v>120</v>
      </c>
      <c r="H99">
        <f t="shared" si="17"/>
        <v>4.615384615384615</v>
      </c>
    </row>
    <row r="100" spans="1:8" ht="15" customHeight="1">
      <c r="A100" s="19"/>
      <c r="B100" s="16"/>
      <c r="C100" s="1">
        <v>45359</v>
      </c>
      <c r="D100" s="1" t="s">
        <v>18</v>
      </c>
      <c r="E100" s="1" t="s">
        <v>52</v>
      </c>
    </row>
    <row r="101" spans="1:8" ht="15" customHeight="1">
      <c r="A101" s="19"/>
      <c r="B101" s="16"/>
      <c r="C101" s="1">
        <v>45360</v>
      </c>
      <c r="D101" s="1" t="s">
        <v>20</v>
      </c>
      <c r="E101" s="1" t="s">
        <v>15</v>
      </c>
    </row>
    <row r="102" spans="1:8" ht="15" customHeight="1">
      <c r="A102" s="19"/>
      <c r="B102" s="16"/>
      <c r="C102" s="1">
        <v>45361</v>
      </c>
      <c r="D102" s="1" t="s">
        <v>22</v>
      </c>
      <c r="E102" s="1" t="s">
        <v>53</v>
      </c>
      <c r="F102">
        <v>22.5</v>
      </c>
      <c r="G102">
        <v>105</v>
      </c>
      <c r="H102">
        <f>G102/F102</f>
        <v>4.666666666666667</v>
      </c>
    </row>
    <row r="103" spans="1:8" ht="15" customHeight="1">
      <c r="A103" s="17">
        <v>5</v>
      </c>
      <c r="B103" s="16">
        <f>SUM(F103:F109)</f>
        <v>31</v>
      </c>
      <c r="C103" s="1">
        <v>45362</v>
      </c>
      <c r="D103" s="1" t="s">
        <v>11</v>
      </c>
      <c r="E103" s="1" t="s">
        <v>15</v>
      </c>
    </row>
    <row r="104" spans="1:8" ht="15" customHeight="1">
      <c r="A104" s="17"/>
      <c r="B104" s="16"/>
      <c r="C104" s="1">
        <v>45363</v>
      </c>
      <c r="D104" s="1" t="s">
        <v>12</v>
      </c>
      <c r="E104" s="1" t="s">
        <v>54</v>
      </c>
    </row>
    <row r="105" spans="1:8" ht="15" customHeight="1">
      <c r="A105" s="17"/>
      <c r="B105" s="16"/>
      <c r="C105" s="1">
        <v>45364</v>
      </c>
      <c r="D105" s="1" t="s">
        <v>14</v>
      </c>
      <c r="E105" s="1" t="s">
        <v>37</v>
      </c>
      <c r="F105">
        <v>10</v>
      </c>
      <c r="G105">
        <v>50</v>
      </c>
      <c r="H105">
        <f>G105/F105</f>
        <v>5</v>
      </c>
    </row>
    <row r="106" spans="1:8" ht="15" customHeight="1">
      <c r="A106" s="17"/>
      <c r="B106" s="16"/>
      <c r="C106" s="1">
        <v>45365</v>
      </c>
      <c r="D106" s="1" t="s">
        <v>16</v>
      </c>
      <c r="E106" s="1" t="s">
        <v>15</v>
      </c>
    </row>
    <row r="107" spans="1:8" ht="15" customHeight="1">
      <c r="A107" s="17"/>
      <c r="B107" s="16"/>
      <c r="C107" s="1">
        <v>45366</v>
      </c>
      <c r="D107" s="1" t="s">
        <v>18</v>
      </c>
      <c r="E107" t="s">
        <v>15</v>
      </c>
    </row>
    <row r="108" spans="1:8" ht="15" customHeight="1">
      <c r="A108" s="17"/>
      <c r="B108" s="16"/>
      <c r="C108" s="1">
        <v>45367</v>
      </c>
      <c r="D108" s="1" t="s">
        <v>20</v>
      </c>
      <c r="E108" s="1" t="s">
        <v>35</v>
      </c>
    </row>
    <row r="109" spans="1:8" ht="15" customHeight="1">
      <c r="A109" s="17"/>
      <c r="B109" s="16"/>
      <c r="C109" s="1">
        <v>45368</v>
      </c>
      <c r="D109" s="1" t="s">
        <v>22</v>
      </c>
      <c r="E109" s="1" t="s">
        <v>55</v>
      </c>
      <c r="F109">
        <v>21</v>
      </c>
      <c r="G109">
        <v>84</v>
      </c>
      <c r="H109">
        <f>G109/F109</f>
        <v>4</v>
      </c>
    </row>
    <row r="110" spans="1:8" ht="15" customHeight="1">
      <c r="A110" s="19">
        <v>4</v>
      </c>
      <c r="B110" s="16">
        <f>SUM(F110:F116)</f>
        <v>25</v>
      </c>
      <c r="C110" s="1">
        <v>45369</v>
      </c>
      <c r="D110" s="1" t="s">
        <v>11</v>
      </c>
      <c r="E110" s="1" t="s">
        <v>15</v>
      </c>
    </row>
    <row r="111" spans="1:8" ht="15" customHeight="1">
      <c r="A111" s="19"/>
      <c r="B111" s="16"/>
      <c r="C111" s="1">
        <v>45370</v>
      </c>
      <c r="D111" s="1" t="s">
        <v>12</v>
      </c>
      <c r="E111" s="1" t="s">
        <v>56</v>
      </c>
      <c r="F111">
        <v>8</v>
      </c>
      <c r="G111">
        <v>42</v>
      </c>
      <c r="H111">
        <f>G111/F111</f>
        <v>5.25</v>
      </c>
    </row>
    <row r="112" spans="1:8" ht="15" customHeight="1">
      <c r="A112" s="19"/>
      <c r="B112" s="16"/>
      <c r="C112" s="1">
        <v>45371</v>
      </c>
      <c r="D112" s="1" t="s">
        <v>14</v>
      </c>
      <c r="E112" s="1" t="s">
        <v>57</v>
      </c>
      <c r="F112">
        <v>17</v>
      </c>
      <c r="G112">
        <v>75</v>
      </c>
      <c r="H112">
        <f>G112/F112</f>
        <v>4.4117647058823533</v>
      </c>
    </row>
    <row r="113" spans="1:5" ht="15" customHeight="1">
      <c r="A113" s="19"/>
      <c r="B113" s="16"/>
      <c r="C113" s="1">
        <v>45372</v>
      </c>
      <c r="D113" s="1" t="s">
        <v>16</v>
      </c>
      <c r="E113" s="1"/>
    </row>
    <row r="114" spans="1:5" ht="15" customHeight="1">
      <c r="A114" s="19"/>
      <c r="B114" s="16"/>
      <c r="C114" s="1">
        <v>45373</v>
      </c>
      <c r="D114" s="1" t="s">
        <v>18</v>
      </c>
      <c r="E114" s="1"/>
    </row>
    <row r="115" spans="1:5" ht="15" customHeight="1">
      <c r="A115" s="19"/>
      <c r="B115" s="16"/>
      <c r="C115" s="1">
        <v>45374</v>
      </c>
      <c r="D115" s="1" t="s">
        <v>20</v>
      </c>
      <c r="E115" s="1"/>
    </row>
    <row r="116" spans="1:5" ht="15" customHeight="1">
      <c r="A116" s="19"/>
      <c r="B116" s="16"/>
      <c r="C116" s="1">
        <v>45375</v>
      </c>
      <c r="D116" s="1" t="s">
        <v>22</v>
      </c>
      <c r="E116" s="1"/>
    </row>
    <row r="117" spans="1:5" ht="15" customHeight="1">
      <c r="A117" s="18">
        <v>3</v>
      </c>
      <c r="B117" s="16">
        <f t="shared" ref="B117" si="18">SUM(E117:E123)</f>
        <v>0</v>
      </c>
      <c r="C117" s="1">
        <v>45376</v>
      </c>
      <c r="D117" s="1" t="s">
        <v>11</v>
      </c>
      <c r="E117" s="1"/>
    </row>
    <row r="118" spans="1:5" ht="15" customHeight="1">
      <c r="A118" s="18"/>
      <c r="B118" s="16"/>
      <c r="C118" s="1">
        <v>45377</v>
      </c>
      <c r="D118" s="1" t="s">
        <v>12</v>
      </c>
      <c r="E118" s="1"/>
    </row>
    <row r="119" spans="1:5" ht="15" customHeight="1">
      <c r="A119" s="18"/>
      <c r="B119" s="16"/>
      <c r="C119" s="1">
        <v>45378</v>
      </c>
      <c r="D119" s="1" t="s">
        <v>14</v>
      </c>
      <c r="E119" s="1"/>
    </row>
    <row r="120" spans="1:5" ht="15" customHeight="1">
      <c r="A120" s="18"/>
      <c r="B120" s="16"/>
      <c r="C120" s="1">
        <v>45379</v>
      </c>
      <c r="D120" s="1" t="s">
        <v>16</v>
      </c>
      <c r="E120" s="1"/>
    </row>
    <row r="121" spans="1:5" ht="15" customHeight="1">
      <c r="A121" s="18"/>
      <c r="B121" s="16"/>
      <c r="C121" s="1">
        <v>45380</v>
      </c>
      <c r="D121" s="1" t="s">
        <v>18</v>
      </c>
      <c r="E121" s="1"/>
    </row>
    <row r="122" spans="1:5" ht="15" customHeight="1">
      <c r="A122" s="18"/>
      <c r="B122" s="16"/>
      <c r="C122" s="1">
        <v>45381</v>
      </c>
      <c r="D122" s="1" t="s">
        <v>20</v>
      </c>
      <c r="E122" s="1"/>
    </row>
    <row r="123" spans="1:5" ht="15" customHeight="1">
      <c r="A123" s="18"/>
      <c r="B123" s="16"/>
      <c r="C123" s="1">
        <v>45382</v>
      </c>
      <c r="D123" s="1" t="s">
        <v>22</v>
      </c>
      <c r="E123" s="1"/>
    </row>
    <row r="124" spans="1:5" ht="15" customHeight="1">
      <c r="A124" s="19">
        <v>2</v>
      </c>
      <c r="B124" s="16">
        <f t="shared" ref="B124" si="19">SUM(E124:E130)</f>
        <v>0</v>
      </c>
      <c r="C124" s="1">
        <v>45383</v>
      </c>
      <c r="D124" s="1" t="s">
        <v>11</v>
      </c>
      <c r="E124" s="1"/>
    </row>
    <row r="125" spans="1:5" ht="15" customHeight="1">
      <c r="A125" s="19"/>
      <c r="B125" s="16"/>
      <c r="C125" s="1">
        <v>45384</v>
      </c>
      <c r="D125" s="1" t="s">
        <v>12</v>
      </c>
      <c r="E125" s="1"/>
    </row>
    <row r="126" spans="1:5" ht="15" customHeight="1">
      <c r="A126" s="19"/>
      <c r="B126" s="16"/>
      <c r="C126" s="1">
        <v>45385</v>
      </c>
      <c r="D126" s="1" t="s">
        <v>14</v>
      </c>
      <c r="E126" s="1"/>
    </row>
    <row r="127" spans="1:5" ht="15" customHeight="1">
      <c r="A127" s="19"/>
      <c r="B127" s="16"/>
      <c r="C127" s="1">
        <v>45386</v>
      </c>
      <c r="D127" s="1" t="s">
        <v>16</v>
      </c>
      <c r="E127" s="1"/>
    </row>
    <row r="128" spans="1:5" ht="15" customHeight="1">
      <c r="A128" s="19"/>
      <c r="B128" s="16"/>
      <c r="C128" s="1">
        <v>45387</v>
      </c>
      <c r="D128" s="1" t="s">
        <v>18</v>
      </c>
      <c r="E128" s="1"/>
    </row>
    <row r="129" spans="1:5" ht="15" customHeight="1">
      <c r="A129" s="19"/>
      <c r="B129" s="16"/>
      <c r="C129" s="1">
        <v>45388</v>
      </c>
      <c r="D129" s="1" t="s">
        <v>20</v>
      </c>
      <c r="E129" s="1"/>
    </row>
    <row r="130" spans="1:5" ht="15" customHeight="1">
      <c r="A130" s="19"/>
      <c r="B130" s="16"/>
      <c r="C130" s="1">
        <v>45389</v>
      </c>
      <c r="D130" s="1" t="s">
        <v>22</v>
      </c>
      <c r="E130" s="1"/>
    </row>
    <row r="131" spans="1:5" ht="15" customHeight="1">
      <c r="A131" s="17">
        <v>1</v>
      </c>
      <c r="B131" s="16">
        <f t="shared" ref="B131" si="20">SUM(E131:E137)</f>
        <v>0</v>
      </c>
      <c r="C131" s="1">
        <v>45390</v>
      </c>
      <c r="D131" s="1" t="s">
        <v>11</v>
      </c>
      <c r="E131" s="1"/>
    </row>
    <row r="132" spans="1:5" ht="15" customHeight="1">
      <c r="A132" s="17"/>
      <c r="B132" s="16"/>
      <c r="C132" s="1">
        <v>45391</v>
      </c>
      <c r="D132" s="1" t="s">
        <v>12</v>
      </c>
      <c r="E132" s="1"/>
    </row>
    <row r="133" spans="1:5" ht="15" customHeight="1">
      <c r="A133" s="17"/>
      <c r="B133" s="16"/>
      <c r="C133" s="1">
        <v>45392</v>
      </c>
      <c r="D133" s="1" t="s">
        <v>14</v>
      </c>
      <c r="E133" s="1"/>
    </row>
    <row r="134" spans="1:5" ht="15" customHeight="1">
      <c r="A134" s="17"/>
      <c r="B134" s="16"/>
      <c r="C134" s="1">
        <v>45393</v>
      </c>
      <c r="D134" s="1" t="s">
        <v>16</v>
      </c>
      <c r="E134" s="1"/>
    </row>
    <row r="135" spans="1:5" ht="15" customHeight="1">
      <c r="A135" s="17"/>
      <c r="B135" s="16"/>
      <c r="C135" s="1">
        <v>45394</v>
      </c>
      <c r="D135" s="1" t="s">
        <v>18</v>
      </c>
      <c r="E135" s="1"/>
    </row>
    <row r="136" spans="1:5" ht="15" customHeight="1">
      <c r="A136" s="17"/>
      <c r="B136" s="16"/>
      <c r="C136" s="1">
        <v>45395</v>
      </c>
      <c r="D136" s="1" t="s">
        <v>20</v>
      </c>
      <c r="E136" s="1"/>
    </row>
    <row r="137" spans="1:5" ht="15" customHeight="1">
      <c r="A137" s="17"/>
      <c r="B137" s="16"/>
      <c r="C137" s="1">
        <v>45396</v>
      </c>
      <c r="D137" s="1" t="s">
        <v>22</v>
      </c>
      <c r="E137" s="1"/>
    </row>
    <row r="138" spans="1:5">
      <c r="C138" s="1">
        <v>45397</v>
      </c>
      <c r="D138" s="1" t="s">
        <v>11</v>
      </c>
      <c r="E138" s="1"/>
    </row>
    <row r="139" spans="1:5">
      <c r="C139" s="1"/>
      <c r="D139" s="1"/>
      <c r="E139" s="1"/>
    </row>
  </sheetData>
  <mergeCells count="38">
    <mergeCell ref="B5:B11"/>
    <mergeCell ref="A5:A11"/>
    <mergeCell ref="A82:A88"/>
    <mergeCell ref="A12:A18"/>
    <mergeCell ref="A19:A25"/>
    <mergeCell ref="A26:A32"/>
    <mergeCell ref="A33:A39"/>
    <mergeCell ref="A40:A46"/>
    <mergeCell ref="A47:A53"/>
    <mergeCell ref="A54:A60"/>
    <mergeCell ref="A61:A67"/>
    <mergeCell ref="A68:A74"/>
    <mergeCell ref="A75:A81"/>
    <mergeCell ref="A131:A137"/>
    <mergeCell ref="B12:B18"/>
    <mergeCell ref="B19:B25"/>
    <mergeCell ref="B26:B32"/>
    <mergeCell ref="B33:B39"/>
    <mergeCell ref="B40:B46"/>
    <mergeCell ref="B47:B53"/>
    <mergeCell ref="B54:B60"/>
    <mergeCell ref="B61:B67"/>
    <mergeCell ref="A89:A95"/>
    <mergeCell ref="A96:A102"/>
    <mergeCell ref="A103:A109"/>
    <mergeCell ref="A110:A116"/>
    <mergeCell ref="A117:A123"/>
    <mergeCell ref="A124:A130"/>
    <mergeCell ref="B110:B116"/>
    <mergeCell ref="B117:B123"/>
    <mergeCell ref="B124:B130"/>
    <mergeCell ref="B131:B137"/>
    <mergeCell ref="B68:B74"/>
    <mergeCell ref="B75:B81"/>
    <mergeCell ref="B82:B88"/>
    <mergeCell ref="B89:B95"/>
    <mergeCell ref="B96:B102"/>
    <mergeCell ref="B103:B109"/>
  </mergeCells>
  <phoneticPr fontId="2" type="noConversion"/>
  <conditionalFormatting sqref="B5:B1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:B1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ignoredErrors>
    <ignoredError sqref="B12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A608C-B4E3-43B6-A909-CA941EF7708E}">
  <dimension ref="A1:F67"/>
  <sheetViews>
    <sheetView tabSelected="1" topLeftCell="A11" workbookViewId="0">
      <selection activeCell="B13" sqref="B13"/>
    </sheetView>
  </sheetViews>
  <sheetFormatPr defaultRowHeight="15"/>
  <cols>
    <col min="1" max="1" width="22.7109375" bestFit="1" customWidth="1"/>
    <col min="2" max="2" width="12.140625" customWidth="1"/>
    <col min="3" max="3" width="46.42578125" customWidth="1"/>
    <col min="4" max="4" width="14.28515625" customWidth="1"/>
  </cols>
  <sheetData>
    <row r="1" spans="1:6">
      <c r="A1" t="s">
        <v>58</v>
      </c>
      <c r="B1" t="s">
        <v>59</v>
      </c>
      <c r="C1" t="s">
        <v>60</v>
      </c>
      <c r="D1" t="s">
        <v>61</v>
      </c>
      <c r="E1" t="s">
        <v>62</v>
      </c>
    </row>
    <row r="2" spans="1:6">
      <c r="A2" s="10" t="s">
        <v>63</v>
      </c>
      <c r="B2" s="11">
        <v>2.4305555555555556E-2</v>
      </c>
      <c r="C2" s="6">
        <f>HOUR(B2)*60+MINUTE(B2)+SECOND(B2)/60</f>
        <v>35</v>
      </c>
    </row>
    <row r="3" spans="1:6">
      <c r="A3" s="10" t="s">
        <v>64</v>
      </c>
      <c r="B3" s="11">
        <v>2.2569444444444442E-3</v>
      </c>
      <c r="C3" s="6">
        <f>HOUR(B3)*60+MINUTE(B3)+SECOND(B3)/60</f>
        <v>3.25</v>
      </c>
    </row>
    <row r="4" spans="1:6">
      <c r="A4" s="10" t="s">
        <v>65</v>
      </c>
      <c r="B4" s="11">
        <v>3.2986111111111111E-3</v>
      </c>
      <c r="C4" s="6">
        <f>HOUR(B4)*60+MINUTE(B4)+SECOND(B4)/60</f>
        <v>4.75</v>
      </c>
    </row>
    <row r="5" spans="1:6">
      <c r="A5" s="10" t="s">
        <v>66</v>
      </c>
      <c r="B5" s="11">
        <v>3.1828703703703702E-3</v>
      </c>
      <c r="C5" s="6">
        <f>HOUR(B5)*60+MINUTE(B5)+SECOND(B5)/60</f>
        <v>4.583333333333333</v>
      </c>
    </row>
    <row r="6" spans="1:6">
      <c r="A6" t="s">
        <v>67</v>
      </c>
      <c r="B6" s="7">
        <f>B5*0.95</f>
        <v>3.0237268518518517E-3</v>
      </c>
      <c r="C6" s="6">
        <f>HOUR(B6)*60+MINUTE(B6)+SECOND(B6)/60</f>
        <v>4.3499999999999996</v>
      </c>
    </row>
    <row r="7" spans="1:6">
      <c r="A7" s="10" t="s">
        <v>68</v>
      </c>
      <c r="B7" s="12">
        <v>0.12083333333333333</v>
      </c>
      <c r="C7" s="6">
        <f>HOUR(B7)*60+MINUTE(B7)+SECOND(B7)/60</f>
        <v>174</v>
      </c>
      <c r="D7" s="10">
        <v>42000</v>
      </c>
    </row>
    <row r="8" spans="1:6">
      <c r="A8" s="10" t="s">
        <v>69</v>
      </c>
      <c r="B8" s="10"/>
      <c r="C8" s="10"/>
      <c r="D8" s="10">
        <v>25000</v>
      </c>
    </row>
    <row r="9" spans="1:6">
      <c r="A9" s="10" t="s">
        <v>70</v>
      </c>
      <c r="B9" s="10"/>
      <c r="C9" s="10"/>
      <c r="D9" s="10">
        <v>10000</v>
      </c>
    </row>
    <row r="10" spans="1:6">
      <c r="A10" s="10" t="s">
        <v>71</v>
      </c>
      <c r="B10" s="10"/>
      <c r="C10" s="10"/>
      <c r="D10" s="10">
        <v>70000</v>
      </c>
      <c r="E10">
        <f>D10/1000</f>
        <v>70</v>
      </c>
    </row>
    <row r="11" spans="1:6">
      <c r="A11" s="10" t="s">
        <v>72</v>
      </c>
      <c r="B11" s="10">
        <v>30</v>
      </c>
    </row>
    <row r="12" spans="1:6">
      <c r="A12" s="10" t="s">
        <v>73</v>
      </c>
      <c r="B12" s="10">
        <v>0</v>
      </c>
      <c r="C12" t="s">
        <v>74</v>
      </c>
    </row>
    <row r="13" spans="1:6">
      <c r="A13" s="10" t="s">
        <v>75</v>
      </c>
      <c r="B13" s="10">
        <v>70</v>
      </c>
    </row>
    <row r="14" spans="1:6">
      <c r="A14" s="10" t="s">
        <v>76</v>
      </c>
      <c r="B14" s="10">
        <v>1.78</v>
      </c>
      <c r="C14" t="s">
        <v>77</v>
      </c>
      <c r="D14" t="s">
        <v>78</v>
      </c>
      <c r="E14" t="s">
        <v>79</v>
      </c>
      <c r="F14" t="s">
        <v>80</v>
      </c>
    </row>
    <row r="15" spans="1:6">
      <c r="A15" s="10" t="s">
        <v>81</v>
      </c>
      <c r="B15" s="10">
        <v>4</v>
      </c>
    </row>
    <row r="16" spans="1:6">
      <c r="A16" s="14" t="s">
        <v>82</v>
      </c>
      <c r="B16" s="14" cm="1">
        <f t="array" ref="B16">INDEX(ProbA!B2:C11, B15, 1)</f>
        <v>6</v>
      </c>
    </row>
    <row r="17" spans="1:6">
      <c r="A17" s="14" t="s">
        <v>83</v>
      </c>
      <c r="B17" s="14" cm="1">
        <f t="array" ref="B17">INDEX(ProbA!B2:C11, B15, 2)</f>
        <v>2</v>
      </c>
    </row>
    <row r="18" spans="1:6">
      <c r="A18" s="15"/>
      <c r="B18" s="15"/>
    </row>
    <row r="19" spans="1:6">
      <c r="A19" s="14" t="s">
        <v>84</v>
      </c>
      <c r="B19" s="14" cm="1">
        <f t="array" ref="B19">INDEX(KmSemanales!B2:E52, (B11-19), (IF(B12=1,1,3)))</f>
        <v>60</v>
      </c>
    </row>
    <row r="20" spans="1:6">
      <c r="A20" s="14" t="s">
        <v>85</v>
      </c>
      <c r="B20" s="14" cm="1">
        <f t="array" ref="B20">INDEX(KmSemanales!B2:E52, (B11-19), (IF(B12=1,2,4)))</f>
        <v>120</v>
      </c>
    </row>
    <row r="21" spans="1:6" ht="30.75" customHeight="1">
      <c r="A21" s="8" t="s">
        <v>86</v>
      </c>
      <c r="B21" s="8">
        <f>B13/(B14*B14)</f>
        <v>22.093170054286073</v>
      </c>
      <c r="C21" t="s">
        <v>87</v>
      </c>
      <c r="D21" t="s">
        <v>88</v>
      </c>
      <c r="E21" t="s">
        <v>89</v>
      </c>
      <c r="F21" t="s">
        <v>90</v>
      </c>
    </row>
    <row r="22" spans="1:6">
      <c r="A22" s="13" t="s">
        <v>91</v>
      </c>
      <c r="B22" s="13">
        <v>20</v>
      </c>
      <c r="C22" t="s">
        <v>92</v>
      </c>
      <c r="D22" t="s">
        <v>93</v>
      </c>
    </row>
    <row r="24" spans="1:6">
      <c r="A24" t="s">
        <v>94</v>
      </c>
    </row>
    <row r="25" spans="1:6">
      <c r="A25" t="s">
        <v>95</v>
      </c>
      <c r="B25">
        <v>10000</v>
      </c>
    </row>
    <row r="26" spans="1:6">
      <c r="A26" t="s">
        <v>96</v>
      </c>
      <c r="B26">
        <v>36</v>
      </c>
    </row>
    <row r="27" spans="1:6">
      <c r="A27" s="8" t="s">
        <v>97</v>
      </c>
      <c r="B27" s="8">
        <f>(0.2*(B25/B26))+3.5</f>
        <v>59.055555555555557</v>
      </c>
      <c r="C27" t="s">
        <v>98</v>
      </c>
    </row>
    <row r="28" spans="1:6">
      <c r="A28" s="9" t="s">
        <v>99</v>
      </c>
      <c r="B28" s="8">
        <v>182</v>
      </c>
      <c r="C28">
        <f>IF(B12=1, 208-(0.7*B11), IF(B12=0, 206-(0.88*B11), "Error"))</f>
        <v>179.6</v>
      </c>
      <c r="D28" t="s">
        <v>100</v>
      </c>
    </row>
    <row r="29" spans="1:6">
      <c r="A29" s="9" t="s">
        <v>101</v>
      </c>
      <c r="B29" s="8">
        <v>44</v>
      </c>
    </row>
    <row r="30" spans="1:6">
      <c r="A30" s="8" t="s">
        <v>102</v>
      </c>
      <c r="B30" s="8">
        <f>(B27*0.6)+((15.3*(B28/B29))*0.4)</f>
        <v>60.74787878787879</v>
      </c>
    </row>
    <row r="31" spans="1:6">
      <c r="A31" s="13" t="s">
        <v>103</v>
      </c>
      <c r="B31" s="13" cm="1">
        <f t="array" ref="B31">INDEX(VO2MAX!B2:C52,(B11-19),(IF(B12=1,1,2)))</f>
        <v>47.6</v>
      </c>
    </row>
    <row r="32" spans="1:6">
      <c r="A32" s="13" t="s">
        <v>104</v>
      </c>
      <c r="B32" s="13" cm="1">
        <f t="array" ref="B32">INDEX(VO2MAXElite!B2:C52,(B11-19),(IF(B12=1,1,2)))</f>
        <v>58</v>
      </c>
    </row>
    <row r="34" spans="1:2">
      <c r="A34" s="8" t="s">
        <v>105</v>
      </c>
    </row>
    <row r="35" spans="1:2">
      <c r="A35" t="s">
        <v>106</v>
      </c>
      <c r="B35">
        <f>ROUNDDOWN(D9/1000,1)</f>
        <v>10</v>
      </c>
    </row>
    <row r="36" spans="1:2">
      <c r="A36" t="s">
        <v>107</v>
      </c>
      <c r="B36" s="7">
        <f>B3*0.975</f>
        <v>2.200520833333333E-3</v>
      </c>
    </row>
    <row r="37" spans="1:2">
      <c r="A37" t="s">
        <v>108</v>
      </c>
      <c r="B37" t="s">
        <v>109</v>
      </c>
    </row>
    <row r="38" spans="1:2">
      <c r="A38" t="s">
        <v>110</v>
      </c>
      <c r="B38" s="7">
        <f>B4*1.05</f>
        <v>3.4635416666666669E-3</v>
      </c>
    </row>
    <row r="39" spans="1:2">
      <c r="A39" t="s">
        <v>111</v>
      </c>
    </row>
    <row r="40" spans="1:2">
      <c r="A40" t="s">
        <v>112</v>
      </c>
    </row>
    <row r="42" spans="1:2">
      <c r="A42" s="8" t="s">
        <v>113</v>
      </c>
    </row>
    <row r="43" spans="1:2">
      <c r="A43" t="s">
        <v>114</v>
      </c>
    </row>
    <row r="44" spans="1:2">
      <c r="A44" t="s">
        <v>115</v>
      </c>
      <c r="B44">
        <f>ROUNDDOWN(D8/5000,0)</f>
        <v>5</v>
      </c>
    </row>
    <row r="45" spans="1:2">
      <c r="A45" t="s">
        <v>107</v>
      </c>
      <c r="B45" s="7">
        <f>B5</f>
        <v>3.1828703703703702E-3</v>
      </c>
    </row>
    <row r="46" spans="1:2">
      <c r="A46" t="s">
        <v>116</v>
      </c>
      <c r="B46">
        <f>ROUNDDOWN(D8/6000,0)</f>
        <v>4</v>
      </c>
    </row>
    <row r="47" spans="1:2">
      <c r="A47" t="s">
        <v>107</v>
      </c>
      <c r="B47" s="7">
        <f>B2/10*1.2</f>
        <v>2.9166666666666668E-3</v>
      </c>
    </row>
    <row r="48" spans="1:2">
      <c r="A48" t="s">
        <v>117</v>
      </c>
      <c r="B48">
        <f>ROUNDDOWN(D8/10000,0)</f>
        <v>2</v>
      </c>
    </row>
    <row r="49" spans="1:2">
      <c r="A49" t="s">
        <v>107</v>
      </c>
      <c r="B49" s="7">
        <f>B2/10*1.1</f>
        <v>2.6736111111111114E-3</v>
      </c>
    </row>
    <row r="50" spans="1:2">
      <c r="A50" t="s">
        <v>118</v>
      </c>
    </row>
    <row r="52" spans="1:2">
      <c r="A52" s="8" t="s">
        <v>119</v>
      </c>
    </row>
    <row r="53" spans="1:2">
      <c r="A53" t="s">
        <v>120</v>
      </c>
    </row>
    <row r="54" spans="1:2">
      <c r="A54" t="s">
        <v>121</v>
      </c>
    </row>
    <row r="55" spans="1:2">
      <c r="A55" t="s">
        <v>122</v>
      </c>
    </row>
    <row r="56" spans="1:2">
      <c r="A56" t="s">
        <v>123</v>
      </c>
      <c r="B56">
        <f>ROUNDDOWN(D9/C3/300,0)</f>
        <v>10</v>
      </c>
    </row>
    <row r="57" spans="1:2">
      <c r="A57" t="s">
        <v>124</v>
      </c>
      <c r="B57" s="7">
        <f>B2/10*1.08</f>
        <v>2.6250000000000002E-3</v>
      </c>
    </row>
    <row r="59" spans="1:2">
      <c r="A59" s="8" t="s">
        <v>125</v>
      </c>
    </row>
    <row r="60" spans="1:2">
      <c r="A60" t="s">
        <v>121</v>
      </c>
    </row>
    <row r="61" spans="1:2">
      <c r="A61" t="s">
        <v>107</v>
      </c>
      <c r="B61" s="7">
        <f>B2/10*0.95</f>
        <v>2.3090277777777779E-3</v>
      </c>
    </row>
    <row r="62" spans="1:2">
      <c r="A62" t="s">
        <v>123</v>
      </c>
      <c r="B62">
        <f>ROUNDDOWN(D9/2000,0)</f>
        <v>5</v>
      </c>
    </row>
    <row r="63" spans="1:2">
      <c r="A63" t="s">
        <v>108</v>
      </c>
      <c r="B63" t="s">
        <v>126</v>
      </c>
    </row>
    <row r="64" spans="1:2">
      <c r="A64" t="s">
        <v>110</v>
      </c>
      <c r="B64" s="7">
        <f>B4*1.02</f>
        <v>3.3645833333333336E-3</v>
      </c>
    </row>
    <row r="65" spans="1:1">
      <c r="A65" t="s">
        <v>127</v>
      </c>
    </row>
    <row r="67" spans="1:1">
      <c r="A67" t="s">
        <v>128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BFBE6-579E-4BFC-9549-D4E3442B4FFF}">
  <dimension ref="A1:C11"/>
  <sheetViews>
    <sheetView workbookViewId="0">
      <selection activeCell="C15" sqref="C15"/>
    </sheetView>
  </sheetViews>
  <sheetFormatPr defaultRowHeight="15"/>
  <cols>
    <col min="1" max="1" width="46" bestFit="1" customWidth="1"/>
    <col min="2" max="2" width="11" bestFit="1" customWidth="1"/>
    <col min="3" max="3" width="42" bestFit="1" customWidth="1"/>
  </cols>
  <sheetData>
    <row r="1" spans="1:3">
      <c r="A1" t="s">
        <v>129</v>
      </c>
      <c r="B1" t="s">
        <v>130</v>
      </c>
      <c r="C1" t="s">
        <v>131</v>
      </c>
    </row>
    <row r="3" spans="1:3">
      <c r="A3" t="s">
        <v>132</v>
      </c>
      <c r="B3">
        <f>Data!B21-Data!B22</f>
        <v>2.0931700542860732</v>
      </c>
      <c r="C3" t="s">
        <v>133</v>
      </c>
    </row>
    <row r="4" spans="1:3">
      <c r="A4" t="s">
        <v>134</v>
      </c>
      <c r="B4">
        <f>Data!B21-Data!B22+1.5</f>
        <v>3.5931700542860732</v>
      </c>
      <c r="C4" t="s">
        <v>133</v>
      </c>
    </row>
    <row r="5" spans="1:3">
      <c r="A5" t="s">
        <v>135</v>
      </c>
      <c r="B5">
        <f>Data!B31-Data!B30</f>
        <v>-13.147878787878788</v>
      </c>
      <c r="C5" t="s">
        <v>133</v>
      </c>
    </row>
    <row r="6" spans="1:3">
      <c r="A6" t="s">
        <v>136</v>
      </c>
      <c r="B6">
        <f>Data!B32-Data!B30</f>
        <v>-2.7478787878787898</v>
      </c>
      <c r="C6" t="s">
        <v>133</v>
      </c>
    </row>
    <row r="7" spans="1:3">
      <c r="A7" t="s">
        <v>137</v>
      </c>
      <c r="B7">
        <f>Data!C28-Data!B28</f>
        <v>-2.4000000000000057</v>
      </c>
      <c r="C7" t="s">
        <v>133</v>
      </c>
    </row>
    <row r="8" spans="1:3">
      <c r="A8" t="s">
        <v>138</v>
      </c>
      <c r="B8">
        <f>Data!B16</f>
        <v>6</v>
      </c>
    </row>
    <row r="9" spans="1:3">
      <c r="A9" t="s">
        <v>139</v>
      </c>
      <c r="B9">
        <f>Data!B17</f>
        <v>2</v>
      </c>
    </row>
    <row r="10" spans="1:3">
      <c r="A10" t="s">
        <v>140</v>
      </c>
      <c r="B10">
        <f>Data!B19-Data!D10/1000</f>
        <v>-10</v>
      </c>
      <c r="C10" t="s">
        <v>133</v>
      </c>
    </row>
    <row r="11" spans="1:3">
      <c r="A11" t="s">
        <v>141</v>
      </c>
      <c r="B11">
        <f>Data!B20-Data!D10/1000</f>
        <v>50</v>
      </c>
      <c r="C11" t="s">
        <v>133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E289C-CE39-4FB9-A4EE-0AE0284811AD}">
  <dimension ref="A1:H52"/>
  <sheetViews>
    <sheetView workbookViewId="0">
      <selection activeCell="G23" sqref="G23"/>
    </sheetView>
  </sheetViews>
  <sheetFormatPr defaultRowHeight="15"/>
  <sheetData>
    <row r="1" spans="1:8">
      <c r="A1" s="8" t="s">
        <v>72</v>
      </c>
      <c r="B1" s="8" t="s">
        <v>142</v>
      </c>
      <c r="C1" s="8" t="s">
        <v>143</v>
      </c>
    </row>
    <row r="2" spans="1:8">
      <c r="A2">
        <v>20</v>
      </c>
      <c r="B2">
        <v>70</v>
      </c>
      <c r="C2">
        <v>60</v>
      </c>
    </row>
    <row r="3" spans="1:8">
      <c r="A3">
        <v>21</v>
      </c>
      <c r="B3">
        <v>69.8</v>
      </c>
      <c r="C3">
        <v>59.8</v>
      </c>
    </row>
    <row r="4" spans="1:8">
      <c r="A4">
        <v>22</v>
      </c>
      <c r="B4">
        <v>69.599999999999994</v>
      </c>
      <c r="C4">
        <v>59.6</v>
      </c>
    </row>
    <row r="5" spans="1:8">
      <c r="A5">
        <v>23</v>
      </c>
      <c r="B5">
        <v>69.400000000000006</v>
      </c>
      <c r="C5">
        <v>59.4</v>
      </c>
    </row>
    <row r="6" spans="1:8">
      <c r="A6">
        <v>24</v>
      </c>
      <c r="B6">
        <v>69.2</v>
      </c>
      <c r="C6">
        <v>59.2</v>
      </c>
    </row>
    <row r="7" spans="1:8">
      <c r="A7">
        <v>25</v>
      </c>
      <c r="B7">
        <v>69</v>
      </c>
      <c r="C7">
        <v>59</v>
      </c>
    </row>
    <row r="8" spans="1:8">
      <c r="A8">
        <v>26</v>
      </c>
      <c r="B8">
        <v>68.8</v>
      </c>
      <c r="C8">
        <v>58.8</v>
      </c>
    </row>
    <row r="9" spans="1:8">
      <c r="A9">
        <v>27</v>
      </c>
      <c r="B9">
        <v>68.599999999999994</v>
      </c>
      <c r="C9">
        <v>58.6</v>
      </c>
    </row>
    <row r="10" spans="1:8">
      <c r="A10">
        <v>28</v>
      </c>
      <c r="B10">
        <v>68.400000000000006</v>
      </c>
      <c r="C10">
        <v>58.4</v>
      </c>
    </row>
    <row r="11" spans="1:8">
      <c r="A11">
        <v>29</v>
      </c>
      <c r="B11">
        <v>68.2</v>
      </c>
      <c r="C11">
        <v>58.2</v>
      </c>
    </row>
    <row r="12" spans="1:8">
      <c r="A12">
        <v>30</v>
      </c>
      <c r="B12">
        <v>68</v>
      </c>
      <c r="C12">
        <v>58</v>
      </c>
    </row>
    <row r="13" spans="1:8">
      <c r="A13">
        <v>31</v>
      </c>
      <c r="B13">
        <v>67.8</v>
      </c>
      <c r="C13">
        <v>57.8</v>
      </c>
    </row>
    <row r="14" spans="1:8">
      <c r="A14">
        <v>32</v>
      </c>
      <c r="B14">
        <v>67.599999999999994</v>
      </c>
      <c r="C14">
        <v>57.6</v>
      </c>
      <c r="F14" s="8"/>
      <c r="G14" s="8"/>
      <c r="H14" s="8"/>
    </row>
    <row r="15" spans="1:8">
      <c r="A15">
        <v>33</v>
      </c>
      <c r="B15">
        <v>67.400000000000006</v>
      </c>
      <c r="C15">
        <v>57.4</v>
      </c>
    </row>
    <row r="16" spans="1:8">
      <c r="A16">
        <v>34</v>
      </c>
      <c r="B16">
        <v>67.2</v>
      </c>
      <c r="C16">
        <v>57.2</v>
      </c>
    </row>
    <row r="17" spans="1:3">
      <c r="A17">
        <v>35</v>
      </c>
      <c r="B17">
        <v>67</v>
      </c>
      <c r="C17">
        <v>57</v>
      </c>
    </row>
    <row r="18" spans="1:3">
      <c r="A18">
        <v>36</v>
      </c>
      <c r="B18">
        <v>66.8</v>
      </c>
      <c r="C18">
        <v>56.8</v>
      </c>
    </row>
    <row r="19" spans="1:3">
      <c r="A19">
        <v>37</v>
      </c>
      <c r="B19">
        <v>66.599999999999994</v>
      </c>
      <c r="C19">
        <v>56.6</v>
      </c>
    </row>
    <row r="20" spans="1:3">
      <c r="A20">
        <v>38</v>
      </c>
      <c r="B20">
        <v>66.400000000000006</v>
      </c>
      <c r="C20">
        <v>56.4</v>
      </c>
    </row>
    <row r="21" spans="1:3">
      <c r="A21">
        <v>39</v>
      </c>
      <c r="B21">
        <v>66.2</v>
      </c>
      <c r="C21">
        <v>56.2</v>
      </c>
    </row>
    <row r="22" spans="1:3">
      <c r="A22">
        <v>40</v>
      </c>
      <c r="B22">
        <v>66</v>
      </c>
      <c r="C22">
        <v>56</v>
      </c>
    </row>
    <row r="23" spans="1:3">
      <c r="A23">
        <v>41</v>
      </c>
      <c r="B23">
        <v>65.8</v>
      </c>
      <c r="C23">
        <v>55.8</v>
      </c>
    </row>
    <row r="24" spans="1:3">
      <c r="A24">
        <v>42</v>
      </c>
      <c r="B24">
        <v>65.599999999999994</v>
      </c>
      <c r="C24">
        <v>55.6</v>
      </c>
    </row>
    <row r="25" spans="1:3">
      <c r="A25">
        <v>43</v>
      </c>
      <c r="B25">
        <v>65.400000000000006</v>
      </c>
      <c r="C25">
        <v>55.4</v>
      </c>
    </row>
    <row r="26" spans="1:3">
      <c r="A26">
        <v>44</v>
      </c>
      <c r="B26">
        <v>65.2</v>
      </c>
      <c r="C26">
        <v>55.2</v>
      </c>
    </row>
    <row r="27" spans="1:3">
      <c r="A27">
        <v>45</v>
      </c>
      <c r="B27">
        <v>65</v>
      </c>
      <c r="C27">
        <v>55</v>
      </c>
    </row>
    <row r="28" spans="1:3">
      <c r="A28">
        <v>46</v>
      </c>
      <c r="B28">
        <v>64.8</v>
      </c>
      <c r="C28">
        <v>54.8</v>
      </c>
    </row>
    <row r="29" spans="1:3">
      <c r="A29">
        <v>47</v>
      </c>
      <c r="B29">
        <v>64.599999999999994</v>
      </c>
      <c r="C29">
        <v>54.6</v>
      </c>
    </row>
    <row r="30" spans="1:3">
      <c r="A30">
        <v>48</v>
      </c>
      <c r="B30">
        <v>64.400000000000006</v>
      </c>
      <c r="C30">
        <v>54.4</v>
      </c>
    </row>
    <row r="31" spans="1:3">
      <c r="A31">
        <v>49</v>
      </c>
      <c r="B31">
        <v>64.2</v>
      </c>
      <c r="C31">
        <v>54.2</v>
      </c>
    </row>
    <row r="32" spans="1:3">
      <c r="A32">
        <v>50</v>
      </c>
      <c r="B32">
        <v>64</v>
      </c>
      <c r="C32">
        <v>54</v>
      </c>
    </row>
    <row r="33" spans="1:6">
      <c r="A33">
        <v>51</v>
      </c>
      <c r="B33">
        <v>63.8</v>
      </c>
      <c r="C33">
        <v>53.8</v>
      </c>
    </row>
    <row r="34" spans="1:6">
      <c r="A34">
        <v>52</v>
      </c>
      <c r="B34">
        <v>63.6</v>
      </c>
      <c r="C34">
        <v>53.6</v>
      </c>
    </row>
    <row r="35" spans="1:6">
      <c r="A35">
        <v>53</v>
      </c>
      <c r="B35">
        <v>63.4</v>
      </c>
      <c r="C35">
        <v>53.4</v>
      </c>
    </row>
    <row r="36" spans="1:6">
      <c r="A36">
        <v>54</v>
      </c>
      <c r="B36">
        <v>63.2</v>
      </c>
      <c r="C36">
        <v>53.2</v>
      </c>
    </row>
    <row r="37" spans="1:6">
      <c r="A37">
        <v>55</v>
      </c>
      <c r="B37">
        <v>63</v>
      </c>
      <c r="C37">
        <v>53</v>
      </c>
      <c r="F37" s="8"/>
    </row>
    <row r="38" spans="1:6">
      <c r="A38">
        <v>56</v>
      </c>
      <c r="B38">
        <v>62.8</v>
      </c>
      <c r="C38">
        <v>52.8</v>
      </c>
    </row>
    <row r="39" spans="1:6">
      <c r="A39">
        <v>57</v>
      </c>
      <c r="B39">
        <v>62.6</v>
      </c>
      <c r="C39">
        <v>52.6</v>
      </c>
    </row>
    <row r="40" spans="1:6">
      <c r="A40">
        <v>58</v>
      </c>
      <c r="B40">
        <v>62.4</v>
      </c>
      <c r="C40">
        <v>52.4</v>
      </c>
    </row>
    <row r="41" spans="1:6">
      <c r="A41">
        <v>59</v>
      </c>
      <c r="B41">
        <v>62.2</v>
      </c>
      <c r="C41">
        <v>52.2</v>
      </c>
    </row>
    <row r="42" spans="1:6">
      <c r="A42">
        <v>60</v>
      </c>
      <c r="B42">
        <v>62</v>
      </c>
      <c r="C42">
        <v>52</v>
      </c>
    </row>
    <row r="43" spans="1:6">
      <c r="A43">
        <v>61</v>
      </c>
      <c r="B43">
        <v>61.8</v>
      </c>
      <c r="C43">
        <v>51.8</v>
      </c>
    </row>
    <row r="44" spans="1:6">
      <c r="A44">
        <v>62</v>
      </c>
      <c r="B44">
        <v>61.6</v>
      </c>
      <c r="C44">
        <v>51.6</v>
      </c>
    </row>
    <row r="45" spans="1:6">
      <c r="A45">
        <v>63</v>
      </c>
      <c r="B45">
        <v>61.4</v>
      </c>
      <c r="C45">
        <v>51.4</v>
      </c>
    </row>
    <row r="46" spans="1:6">
      <c r="A46">
        <v>64</v>
      </c>
      <c r="B46">
        <v>61.2</v>
      </c>
      <c r="C46">
        <v>51.2</v>
      </c>
    </row>
    <row r="47" spans="1:6">
      <c r="A47">
        <v>65</v>
      </c>
      <c r="B47">
        <v>61</v>
      </c>
      <c r="C47">
        <v>51</v>
      </c>
    </row>
    <row r="48" spans="1:6">
      <c r="A48">
        <v>66</v>
      </c>
      <c r="B48">
        <v>60.8</v>
      </c>
      <c r="C48">
        <v>50.8</v>
      </c>
    </row>
    <row r="49" spans="1:3">
      <c r="A49">
        <v>67</v>
      </c>
      <c r="B49">
        <v>60.6</v>
      </c>
      <c r="C49">
        <v>50.6</v>
      </c>
    </row>
    <row r="50" spans="1:3">
      <c r="A50">
        <v>68</v>
      </c>
      <c r="B50">
        <v>60.4</v>
      </c>
      <c r="C50">
        <v>50.4</v>
      </c>
    </row>
    <row r="51" spans="1:3">
      <c r="A51">
        <v>69</v>
      </c>
      <c r="B51">
        <v>60.2</v>
      </c>
      <c r="C51">
        <v>50.2</v>
      </c>
    </row>
    <row r="52" spans="1:3">
      <c r="A52">
        <v>70</v>
      </c>
      <c r="B52">
        <v>60</v>
      </c>
      <c r="C52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8D7C7-549F-4F2F-8F49-34027B4A9115}">
  <dimension ref="A1:H52"/>
  <sheetViews>
    <sheetView workbookViewId="0">
      <selection activeCell="F34" sqref="F34"/>
    </sheetView>
  </sheetViews>
  <sheetFormatPr defaultRowHeight="15"/>
  <sheetData>
    <row r="1" spans="1:8">
      <c r="A1" t="s">
        <v>72</v>
      </c>
      <c r="B1" t="s">
        <v>144</v>
      </c>
      <c r="C1" t="s">
        <v>145</v>
      </c>
    </row>
    <row r="2" spans="1:8">
      <c r="A2">
        <v>20</v>
      </c>
      <c r="B2">
        <v>55.4</v>
      </c>
      <c r="C2">
        <v>49.6</v>
      </c>
    </row>
    <row r="3" spans="1:8">
      <c r="A3">
        <v>21</v>
      </c>
      <c r="B3">
        <v>55.2</v>
      </c>
      <c r="C3">
        <v>49.4</v>
      </c>
    </row>
    <row r="4" spans="1:8">
      <c r="A4">
        <v>22</v>
      </c>
      <c r="B4">
        <v>55</v>
      </c>
      <c r="C4">
        <v>49.2</v>
      </c>
    </row>
    <row r="5" spans="1:8">
      <c r="A5">
        <v>23</v>
      </c>
      <c r="B5">
        <v>54.8</v>
      </c>
      <c r="C5">
        <v>49</v>
      </c>
    </row>
    <row r="6" spans="1:8">
      <c r="A6">
        <v>24</v>
      </c>
      <c r="B6">
        <v>54.6</v>
      </c>
      <c r="C6">
        <v>48.8</v>
      </c>
    </row>
    <row r="7" spans="1:8">
      <c r="A7">
        <v>25</v>
      </c>
      <c r="B7">
        <v>54.4</v>
      </c>
      <c r="C7">
        <v>48.6</v>
      </c>
    </row>
    <row r="8" spans="1:8">
      <c r="A8">
        <v>26</v>
      </c>
      <c r="B8">
        <v>54.2</v>
      </c>
      <c r="C8">
        <v>48.4</v>
      </c>
    </row>
    <row r="9" spans="1:8">
      <c r="A9">
        <v>27</v>
      </c>
      <c r="B9">
        <v>54</v>
      </c>
      <c r="C9">
        <v>48.2</v>
      </c>
    </row>
    <row r="10" spans="1:8">
      <c r="A10">
        <v>28</v>
      </c>
      <c r="B10">
        <v>53.8</v>
      </c>
      <c r="C10">
        <v>48</v>
      </c>
    </row>
    <row r="11" spans="1:8">
      <c r="A11">
        <v>29</v>
      </c>
      <c r="B11">
        <v>53.6</v>
      </c>
      <c r="C11">
        <v>47.8</v>
      </c>
    </row>
    <row r="12" spans="1:8">
      <c r="A12">
        <v>30</v>
      </c>
      <c r="B12">
        <v>53.4</v>
      </c>
      <c r="C12">
        <v>47.6</v>
      </c>
    </row>
    <row r="13" spans="1:8">
      <c r="A13">
        <v>31</v>
      </c>
      <c r="B13">
        <v>53.2</v>
      </c>
      <c r="C13">
        <v>47.4</v>
      </c>
    </row>
    <row r="14" spans="1:8">
      <c r="A14">
        <v>32</v>
      </c>
      <c r="B14">
        <v>53</v>
      </c>
      <c r="C14">
        <v>47.2</v>
      </c>
      <c r="F14" s="8"/>
      <c r="G14" s="8"/>
      <c r="H14" s="8"/>
    </row>
    <row r="15" spans="1:8">
      <c r="A15">
        <v>33</v>
      </c>
      <c r="B15">
        <v>52.8</v>
      </c>
      <c r="C15">
        <v>47</v>
      </c>
    </row>
    <row r="16" spans="1:8">
      <c r="A16">
        <v>34</v>
      </c>
      <c r="B16">
        <v>52.6</v>
      </c>
      <c r="C16">
        <v>46.8</v>
      </c>
    </row>
    <row r="17" spans="1:3">
      <c r="A17">
        <v>35</v>
      </c>
      <c r="B17">
        <v>52.4</v>
      </c>
      <c r="C17">
        <v>46.6</v>
      </c>
    </row>
    <row r="18" spans="1:3">
      <c r="A18">
        <v>36</v>
      </c>
      <c r="B18">
        <v>52.2</v>
      </c>
      <c r="C18">
        <v>46.4</v>
      </c>
    </row>
    <row r="19" spans="1:3">
      <c r="A19">
        <v>37</v>
      </c>
      <c r="B19">
        <v>52</v>
      </c>
      <c r="C19">
        <v>46.2</v>
      </c>
    </row>
    <row r="20" spans="1:3">
      <c r="A20">
        <v>38</v>
      </c>
      <c r="B20">
        <v>51.8</v>
      </c>
      <c r="C20">
        <v>46</v>
      </c>
    </row>
    <row r="21" spans="1:3">
      <c r="A21">
        <v>39</v>
      </c>
      <c r="B21">
        <v>51.6</v>
      </c>
      <c r="C21">
        <v>45.8</v>
      </c>
    </row>
    <row r="22" spans="1:3">
      <c r="A22">
        <v>40</v>
      </c>
      <c r="B22">
        <v>51.4</v>
      </c>
      <c r="C22">
        <v>45.6</v>
      </c>
    </row>
    <row r="23" spans="1:3">
      <c r="A23">
        <v>41</v>
      </c>
      <c r="B23">
        <v>51.2</v>
      </c>
      <c r="C23">
        <v>45.4</v>
      </c>
    </row>
    <row r="24" spans="1:3">
      <c r="A24">
        <v>42</v>
      </c>
      <c r="B24">
        <v>51</v>
      </c>
      <c r="C24">
        <v>45.2</v>
      </c>
    </row>
    <row r="25" spans="1:3">
      <c r="A25">
        <v>43</v>
      </c>
      <c r="B25">
        <v>50.8</v>
      </c>
      <c r="C25">
        <v>45</v>
      </c>
    </row>
    <row r="26" spans="1:3">
      <c r="A26">
        <v>44</v>
      </c>
      <c r="B26">
        <v>50.6</v>
      </c>
      <c r="C26">
        <v>44.8</v>
      </c>
    </row>
    <row r="27" spans="1:3">
      <c r="A27">
        <v>45</v>
      </c>
      <c r="B27">
        <v>50.4</v>
      </c>
      <c r="C27">
        <v>44.6</v>
      </c>
    </row>
    <row r="28" spans="1:3">
      <c r="A28">
        <v>46</v>
      </c>
      <c r="B28">
        <v>50.2</v>
      </c>
      <c r="C28">
        <v>44.4</v>
      </c>
    </row>
    <row r="29" spans="1:3">
      <c r="A29">
        <v>47</v>
      </c>
      <c r="B29">
        <v>50</v>
      </c>
      <c r="C29">
        <v>44.2</v>
      </c>
    </row>
    <row r="30" spans="1:3">
      <c r="A30">
        <v>48</v>
      </c>
      <c r="B30">
        <v>49.8</v>
      </c>
      <c r="C30">
        <v>44</v>
      </c>
    </row>
    <row r="31" spans="1:3">
      <c r="A31">
        <v>49</v>
      </c>
      <c r="B31">
        <v>49.6</v>
      </c>
      <c r="C31">
        <v>43.8</v>
      </c>
    </row>
    <row r="32" spans="1:3">
      <c r="A32">
        <v>50</v>
      </c>
      <c r="B32">
        <v>49.4</v>
      </c>
      <c r="C32">
        <v>43.6</v>
      </c>
    </row>
    <row r="33" spans="1:6">
      <c r="A33">
        <v>51</v>
      </c>
      <c r="B33">
        <v>49.2</v>
      </c>
      <c r="C33">
        <v>43.4</v>
      </c>
    </row>
    <row r="34" spans="1:6">
      <c r="A34">
        <v>52</v>
      </c>
      <c r="B34">
        <v>49</v>
      </c>
      <c r="C34">
        <v>43.2</v>
      </c>
    </row>
    <row r="35" spans="1:6">
      <c r="A35">
        <v>53</v>
      </c>
      <c r="B35">
        <v>48.8</v>
      </c>
      <c r="C35">
        <v>43</v>
      </c>
    </row>
    <row r="36" spans="1:6">
      <c r="A36">
        <v>54</v>
      </c>
      <c r="B36">
        <v>48.6</v>
      </c>
      <c r="C36">
        <v>42.8</v>
      </c>
    </row>
    <row r="37" spans="1:6">
      <c r="A37">
        <v>55</v>
      </c>
      <c r="B37">
        <v>48.4</v>
      </c>
      <c r="C37">
        <v>42.6</v>
      </c>
      <c r="F37" s="8"/>
    </row>
    <row r="38" spans="1:6">
      <c r="A38">
        <v>56</v>
      </c>
      <c r="B38">
        <v>48.2</v>
      </c>
      <c r="C38">
        <v>42.4</v>
      </c>
    </row>
    <row r="39" spans="1:6">
      <c r="A39">
        <v>57</v>
      </c>
      <c r="B39">
        <v>48</v>
      </c>
      <c r="C39">
        <v>42.2</v>
      </c>
    </row>
    <row r="40" spans="1:6">
      <c r="A40">
        <v>58</v>
      </c>
      <c r="B40">
        <v>47.8</v>
      </c>
      <c r="C40">
        <v>42</v>
      </c>
    </row>
    <row r="41" spans="1:6">
      <c r="A41">
        <v>59</v>
      </c>
      <c r="B41">
        <v>47.6</v>
      </c>
      <c r="C41">
        <v>41.8</v>
      </c>
    </row>
    <row r="42" spans="1:6">
      <c r="A42">
        <v>60</v>
      </c>
      <c r="B42">
        <v>47.4</v>
      </c>
      <c r="C42">
        <v>41.6</v>
      </c>
    </row>
    <row r="43" spans="1:6">
      <c r="A43">
        <v>61</v>
      </c>
      <c r="B43">
        <v>47.2</v>
      </c>
      <c r="C43">
        <v>41.4</v>
      </c>
    </row>
    <row r="44" spans="1:6">
      <c r="A44">
        <v>62</v>
      </c>
      <c r="B44">
        <v>47</v>
      </c>
      <c r="C44">
        <v>41.2</v>
      </c>
    </row>
    <row r="45" spans="1:6">
      <c r="A45">
        <v>63</v>
      </c>
      <c r="B45">
        <v>46.8</v>
      </c>
      <c r="C45">
        <v>41</v>
      </c>
    </row>
    <row r="46" spans="1:6">
      <c r="A46">
        <v>64</v>
      </c>
      <c r="B46">
        <v>46.6</v>
      </c>
      <c r="C46">
        <v>40.799999999999997</v>
      </c>
    </row>
    <row r="47" spans="1:6">
      <c r="A47">
        <v>65</v>
      </c>
      <c r="B47">
        <v>46.4</v>
      </c>
      <c r="C47">
        <v>40.6</v>
      </c>
    </row>
    <row r="48" spans="1:6">
      <c r="A48">
        <v>66</v>
      </c>
      <c r="B48">
        <v>46.2</v>
      </c>
      <c r="C48">
        <v>40.4</v>
      </c>
    </row>
    <row r="49" spans="1:3">
      <c r="A49">
        <v>67</v>
      </c>
      <c r="B49">
        <v>46</v>
      </c>
      <c r="C49">
        <v>40.200000000000003</v>
      </c>
    </row>
    <row r="50" spans="1:3">
      <c r="A50">
        <v>68</v>
      </c>
      <c r="B50">
        <v>45.8</v>
      </c>
      <c r="C50">
        <v>40</v>
      </c>
    </row>
    <row r="51" spans="1:3">
      <c r="A51">
        <v>69</v>
      </c>
      <c r="B51">
        <v>45.6</v>
      </c>
      <c r="C51">
        <v>39.799999999999997</v>
      </c>
    </row>
    <row r="52" spans="1:3">
      <c r="A52">
        <v>70</v>
      </c>
      <c r="B52">
        <v>45.4</v>
      </c>
      <c r="C52">
        <v>39.6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83C9A-7FA2-427C-AE07-25992D9A1BA4}">
  <dimension ref="A1:C12"/>
  <sheetViews>
    <sheetView workbookViewId="0">
      <selection activeCell="D18" sqref="D18"/>
    </sheetView>
  </sheetViews>
  <sheetFormatPr defaultRowHeight="15"/>
  <sheetData>
    <row r="1" spans="1:3">
      <c r="A1" s="8" t="s">
        <v>146</v>
      </c>
      <c r="B1" s="8" t="s">
        <v>147</v>
      </c>
      <c r="C1" s="8" t="s">
        <v>148</v>
      </c>
    </row>
    <row r="2" spans="1:3">
      <c r="A2">
        <v>0</v>
      </c>
      <c r="B2">
        <v>0</v>
      </c>
      <c r="C2">
        <v>0</v>
      </c>
    </row>
    <row r="3" spans="1:3">
      <c r="A3">
        <v>1</v>
      </c>
      <c r="B3">
        <v>12</v>
      </c>
      <c r="C3">
        <v>5</v>
      </c>
    </row>
    <row r="4" spans="1:3">
      <c r="A4">
        <v>2</v>
      </c>
      <c r="B4">
        <v>8</v>
      </c>
      <c r="C4">
        <v>3</v>
      </c>
    </row>
    <row r="5" spans="1:3">
      <c r="A5">
        <v>3</v>
      </c>
      <c r="B5">
        <v>6</v>
      </c>
      <c r="C5">
        <v>2</v>
      </c>
    </row>
    <row r="6" spans="1:3">
      <c r="A6">
        <v>4</v>
      </c>
      <c r="B6">
        <v>4</v>
      </c>
      <c r="C6">
        <v>1.5</v>
      </c>
    </row>
    <row r="7" spans="1:3">
      <c r="A7">
        <v>5</v>
      </c>
      <c r="B7">
        <v>3</v>
      </c>
      <c r="C7">
        <v>1</v>
      </c>
    </row>
    <row r="8" spans="1:3">
      <c r="A8">
        <v>6</v>
      </c>
      <c r="B8">
        <v>2.5</v>
      </c>
      <c r="C8">
        <v>0.8</v>
      </c>
    </row>
    <row r="9" spans="1:3">
      <c r="A9">
        <v>7</v>
      </c>
      <c r="B9">
        <v>2</v>
      </c>
      <c r="C9">
        <v>0.6</v>
      </c>
    </row>
    <row r="10" spans="1:3">
      <c r="A10">
        <v>8</v>
      </c>
      <c r="B10">
        <v>1.5</v>
      </c>
      <c r="C10">
        <v>0.5</v>
      </c>
    </row>
    <row r="11" spans="1:3">
      <c r="A11">
        <v>9</v>
      </c>
      <c r="B11">
        <v>1.2</v>
      </c>
      <c r="C11">
        <v>0.4</v>
      </c>
    </row>
    <row r="12" spans="1:3">
      <c r="A12">
        <v>10</v>
      </c>
      <c r="B12">
        <v>1</v>
      </c>
      <c r="C12">
        <v>0.3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6D156-3CC6-4EAD-9BE5-B57875062EC9}">
  <dimension ref="A1:E52"/>
  <sheetViews>
    <sheetView topLeftCell="A21" workbookViewId="0">
      <selection activeCell="G10" sqref="G10"/>
    </sheetView>
  </sheetViews>
  <sheetFormatPr defaultRowHeight="15"/>
  <cols>
    <col min="2" max="2" width="21.42578125" bestFit="1" customWidth="1"/>
    <col min="3" max="3" width="25.7109375" bestFit="1" customWidth="1"/>
    <col min="4" max="4" width="20.7109375" bestFit="1" customWidth="1"/>
    <col min="5" max="5" width="25" bestFit="1" customWidth="1"/>
  </cols>
  <sheetData>
    <row r="1" spans="1:5">
      <c r="A1" s="8" t="s">
        <v>72</v>
      </c>
      <c r="B1" s="8" t="s">
        <v>149</v>
      </c>
      <c r="C1" s="8" t="s">
        <v>150</v>
      </c>
      <c r="D1" s="8" t="s">
        <v>151</v>
      </c>
      <c r="E1" s="8" t="s">
        <v>152</v>
      </c>
    </row>
    <row r="2" spans="1:5">
      <c r="A2">
        <v>20</v>
      </c>
      <c r="B2">
        <v>50</v>
      </c>
      <c r="C2">
        <v>120</v>
      </c>
      <c r="D2">
        <v>40</v>
      </c>
      <c r="E2">
        <v>100</v>
      </c>
    </row>
    <row r="3" spans="1:5">
      <c r="A3">
        <v>21</v>
      </c>
      <c r="B3">
        <v>52</v>
      </c>
      <c r="C3">
        <v>122</v>
      </c>
      <c r="D3">
        <v>42</v>
      </c>
      <c r="E3">
        <v>102</v>
      </c>
    </row>
    <row r="4" spans="1:5">
      <c r="A4">
        <v>22</v>
      </c>
      <c r="B4">
        <v>54</v>
      </c>
      <c r="C4">
        <v>124</v>
      </c>
      <c r="D4">
        <v>44</v>
      </c>
      <c r="E4">
        <v>104</v>
      </c>
    </row>
    <row r="5" spans="1:5">
      <c r="A5">
        <v>23</v>
      </c>
      <c r="B5">
        <v>56</v>
      </c>
      <c r="C5">
        <v>126</v>
      </c>
      <c r="D5">
        <v>46</v>
      </c>
      <c r="E5">
        <v>106</v>
      </c>
    </row>
    <row r="6" spans="1:5">
      <c r="A6">
        <v>24</v>
      </c>
      <c r="B6">
        <v>58</v>
      </c>
      <c r="C6">
        <v>128</v>
      </c>
      <c r="D6">
        <v>48</v>
      </c>
      <c r="E6">
        <v>108</v>
      </c>
    </row>
    <row r="7" spans="1:5">
      <c r="A7">
        <v>25</v>
      </c>
      <c r="B7">
        <v>60</v>
      </c>
      <c r="C7">
        <v>130</v>
      </c>
      <c r="D7">
        <v>50</v>
      </c>
      <c r="E7">
        <v>110</v>
      </c>
    </row>
    <row r="8" spans="1:5">
      <c r="A8">
        <v>26</v>
      </c>
      <c r="B8">
        <v>62</v>
      </c>
      <c r="C8">
        <v>132</v>
      </c>
      <c r="D8">
        <v>52</v>
      </c>
      <c r="E8">
        <v>112</v>
      </c>
    </row>
    <row r="9" spans="1:5">
      <c r="A9">
        <v>27</v>
      </c>
      <c r="B9">
        <v>64</v>
      </c>
      <c r="C9">
        <v>134</v>
      </c>
      <c r="D9">
        <v>54</v>
      </c>
      <c r="E9">
        <v>114</v>
      </c>
    </row>
    <row r="10" spans="1:5">
      <c r="A10">
        <v>28</v>
      </c>
      <c r="B10">
        <v>66</v>
      </c>
      <c r="C10">
        <v>136</v>
      </c>
      <c r="D10">
        <v>56</v>
      </c>
      <c r="E10">
        <v>116</v>
      </c>
    </row>
    <row r="11" spans="1:5">
      <c r="A11">
        <v>29</v>
      </c>
      <c r="B11">
        <v>68</v>
      </c>
      <c r="C11">
        <v>138</v>
      </c>
      <c r="D11">
        <v>58</v>
      </c>
      <c r="E11">
        <v>118</v>
      </c>
    </row>
    <row r="12" spans="1:5">
      <c r="A12">
        <v>30</v>
      </c>
      <c r="B12">
        <v>70</v>
      </c>
      <c r="C12">
        <v>140</v>
      </c>
      <c r="D12">
        <v>60</v>
      </c>
      <c r="E12">
        <v>120</v>
      </c>
    </row>
    <row r="13" spans="1:5">
      <c r="A13">
        <v>31</v>
      </c>
      <c r="B13">
        <v>72</v>
      </c>
      <c r="C13">
        <v>142</v>
      </c>
      <c r="D13">
        <v>62</v>
      </c>
      <c r="E13">
        <v>122</v>
      </c>
    </row>
    <row r="14" spans="1:5">
      <c r="A14">
        <v>32</v>
      </c>
      <c r="B14">
        <v>74</v>
      </c>
      <c r="C14">
        <v>144</v>
      </c>
      <c r="D14">
        <v>64</v>
      </c>
      <c r="E14">
        <v>124</v>
      </c>
    </row>
    <row r="15" spans="1:5">
      <c r="A15">
        <v>33</v>
      </c>
      <c r="B15">
        <v>76</v>
      </c>
      <c r="C15">
        <v>146</v>
      </c>
      <c r="D15">
        <v>66</v>
      </c>
      <c r="E15">
        <v>126</v>
      </c>
    </row>
    <row r="16" spans="1:5">
      <c r="A16">
        <v>34</v>
      </c>
      <c r="B16">
        <v>78</v>
      </c>
      <c r="C16">
        <v>148</v>
      </c>
      <c r="D16">
        <v>68</v>
      </c>
      <c r="E16">
        <v>128</v>
      </c>
    </row>
    <row r="17" spans="1:5">
      <c r="A17">
        <v>35</v>
      </c>
      <c r="B17">
        <v>80</v>
      </c>
      <c r="C17">
        <v>150</v>
      </c>
      <c r="D17">
        <v>70</v>
      </c>
      <c r="E17">
        <v>130</v>
      </c>
    </row>
    <row r="18" spans="1:5">
      <c r="A18">
        <v>36</v>
      </c>
      <c r="B18">
        <v>78</v>
      </c>
      <c r="C18">
        <v>148</v>
      </c>
      <c r="D18">
        <v>68</v>
      </c>
      <c r="E18">
        <v>128</v>
      </c>
    </row>
    <row r="19" spans="1:5">
      <c r="A19">
        <v>37</v>
      </c>
      <c r="B19">
        <v>76</v>
      </c>
      <c r="C19">
        <v>146</v>
      </c>
      <c r="D19">
        <v>66</v>
      </c>
      <c r="E19">
        <v>126</v>
      </c>
    </row>
    <row r="20" spans="1:5">
      <c r="A20">
        <v>38</v>
      </c>
      <c r="B20">
        <v>74</v>
      </c>
      <c r="C20">
        <v>144</v>
      </c>
      <c r="D20">
        <v>64</v>
      </c>
      <c r="E20">
        <v>124</v>
      </c>
    </row>
    <row r="21" spans="1:5">
      <c r="A21">
        <v>39</v>
      </c>
      <c r="B21">
        <v>72</v>
      </c>
      <c r="C21">
        <v>142</v>
      </c>
      <c r="D21">
        <v>62</v>
      </c>
      <c r="E21">
        <v>122</v>
      </c>
    </row>
    <row r="22" spans="1:5">
      <c r="A22">
        <v>40</v>
      </c>
      <c r="B22">
        <v>70</v>
      </c>
      <c r="C22">
        <v>140</v>
      </c>
      <c r="D22">
        <v>60</v>
      </c>
      <c r="E22">
        <v>120</v>
      </c>
    </row>
    <row r="23" spans="1:5">
      <c r="A23">
        <v>41</v>
      </c>
      <c r="B23">
        <v>68</v>
      </c>
      <c r="C23">
        <v>138</v>
      </c>
      <c r="D23">
        <v>58</v>
      </c>
      <c r="E23">
        <v>118</v>
      </c>
    </row>
    <row r="24" spans="1:5">
      <c r="A24">
        <v>42</v>
      </c>
      <c r="B24">
        <v>66</v>
      </c>
      <c r="C24">
        <v>136</v>
      </c>
      <c r="D24">
        <v>56</v>
      </c>
      <c r="E24">
        <v>116</v>
      </c>
    </row>
    <row r="25" spans="1:5">
      <c r="A25">
        <v>43</v>
      </c>
      <c r="B25">
        <v>64</v>
      </c>
      <c r="C25">
        <v>134</v>
      </c>
      <c r="D25">
        <v>54</v>
      </c>
      <c r="E25">
        <v>114</v>
      </c>
    </row>
    <row r="26" spans="1:5">
      <c r="A26">
        <v>44</v>
      </c>
      <c r="B26">
        <v>62</v>
      </c>
      <c r="C26">
        <v>132</v>
      </c>
      <c r="D26">
        <v>52</v>
      </c>
      <c r="E26">
        <v>112</v>
      </c>
    </row>
    <row r="27" spans="1:5">
      <c r="A27">
        <v>45</v>
      </c>
      <c r="B27">
        <v>60</v>
      </c>
      <c r="C27">
        <v>130</v>
      </c>
      <c r="D27">
        <v>50</v>
      </c>
      <c r="E27">
        <v>110</v>
      </c>
    </row>
    <row r="28" spans="1:5">
      <c r="A28">
        <v>46</v>
      </c>
      <c r="B28">
        <v>58</v>
      </c>
      <c r="C28">
        <v>128</v>
      </c>
      <c r="D28">
        <v>48</v>
      </c>
      <c r="E28">
        <v>108</v>
      </c>
    </row>
    <row r="29" spans="1:5">
      <c r="A29">
        <v>47</v>
      </c>
      <c r="B29">
        <v>56</v>
      </c>
      <c r="C29">
        <v>126</v>
      </c>
      <c r="D29">
        <v>46</v>
      </c>
      <c r="E29">
        <v>106</v>
      </c>
    </row>
    <row r="30" spans="1:5">
      <c r="A30">
        <v>48</v>
      </c>
      <c r="B30">
        <v>54</v>
      </c>
      <c r="C30">
        <v>124</v>
      </c>
      <c r="D30">
        <v>44</v>
      </c>
      <c r="E30">
        <v>104</v>
      </c>
    </row>
    <row r="31" spans="1:5">
      <c r="A31">
        <v>49</v>
      </c>
      <c r="B31">
        <v>52</v>
      </c>
      <c r="C31">
        <v>122</v>
      </c>
      <c r="D31">
        <v>42</v>
      </c>
      <c r="E31">
        <v>102</v>
      </c>
    </row>
    <row r="32" spans="1:5">
      <c r="A32">
        <v>50</v>
      </c>
      <c r="B32">
        <v>50</v>
      </c>
      <c r="C32">
        <v>120</v>
      </c>
      <c r="D32">
        <v>40</v>
      </c>
      <c r="E32">
        <v>100</v>
      </c>
    </row>
    <row r="33" spans="1:5">
      <c r="A33">
        <v>51</v>
      </c>
      <c r="B33">
        <v>48</v>
      </c>
      <c r="C33">
        <v>118</v>
      </c>
      <c r="D33">
        <v>38</v>
      </c>
      <c r="E33">
        <v>98</v>
      </c>
    </row>
    <row r="34" spans="1:5">
      <c r="A34">
        <v>52</v>
      </c>
      <c r="B34">
        <v>46</v>
      </c>
      <c r="C34">
        <v>116</v>
      </c>
      <c r="D34">
        <v>36</v>
      </c>
      <c r="E34">
        <v>96</v>
      </c>
    </row>
    <row r="35" spans="1:5">
      <c r="A35">
        <v>53</v>
      </c>
      <c r="B35">
        <v>44</v>
      </c>
      <c r="C35">
        <v>114</v>
      </c>
      <c r="D35">
        <v>34</v>
      </c>
      <c r="E35">
        <v>94</v>
      </c>
    </row>
    <row r="36" spans="1:5">
      <c r="A36">
        <v>54</v>
      </c>
      <c r="B36">
        <v>42</v>
      </c>
      <c r="C36">
        <v>112</v>
      </c>
      <c r="D36">
        <v>32</v>
      </c>
      <c r="E36">
        <v>92</v>
      </c>
    </row>
    <row r="37" spans="1:5">
      <c r="A37">
        <v>55</v>
      </c>
      <c r="B37">
        <v>40</v>
      </c>
      <c r="C37">
        <v>110</v>
      </c>
      <c r="D37">
        <v>30</v>
      </c>
      <c r="E37">
        <v>90</v>
      </c>
    </row>
    <row r="38" spans="1:5">
      <c r="A38">
        <v>56</v>
      </c>
      <c r="B38">
        <v>38</v>
      </c>
      <c r="C38">
        <v>108</v>
      </c>
      <c r="D38">
        <v>28</v>
      </c>
      <c r="E38">
        <v>88</v>
      </c>
    </row>
    <row r="39" spans="1:5">
      <c r="A39">
        <v>57</v>
      </c>
      <c r="B39">
        <v>36</v>
      </c>
      <c r="C39">
        <v>106</v>
      </c>
      <c r="D39">
        <v>26</v>
      </c>
      <c r="E39">
        <v>86</v>
      </c>
    </row>
    <row r="40" spans="1:5">
      <c r="A40">
        <v>58</v>
      </c>
      <c r="B40">
        <v>34</v>
      </c>
      <c r="C40">
        <v>104</v>
      </c>
      <c r="D40">
        <v>24</v>
      </c>
      <c r="E40">
        <v>84</v>
      </c>
    </row>
    <row r="41" spans="1:5">
      <c r="A41">
        <v>59</v>
      </c>
      <c r="B41">
        <v>32</v>
      </c>
      <c r="C41">
        <v>102</v>
      </c>
      <c r="D41">
        <v>22</v>
      </c>
      <c r="E41">
        <v>82</v>
      </c>
    </row>
    <row r="42" spans="1:5">
      <c r="A42">
        <v>60</v>
      </c>
      <c r="B42">
        <v>30</v>
      </c>
      <c r="C42">
        <v>100</v>
      </c>
      <c r="D42">
        <v>20</v>
      </c>
      <c r="E42">
        <v>80</v>
      </c>
    </row>
    <row r="43" spans="1:5">
      <c r="A43">
        <v>61</v>
      </c>
      <c r="B43">
        <v>28</v>
      </c>
      <c r="C43">
        <v>98</v>
      </c>
      <c r="D43">
        <v>18</v>
      </c>
      <c r="E43">
        <v>78</v>
      </c>
    </row>
    <row r="44" spans="1:5">
      <c r="A44">
        <v>62</v>
      </c>
      <c r="B44">
        <v>26</v>
      </c>
      <c r="C44">
        <v>96</v>
      </c>
      <c r="D44">
        <v>16</v>
      </c>
      <c r="E44">
        <v>76</v>
      </c>
    </row>
    <row r="45" spans="1:5">
      <c r="A45">
        <v>63</v>
      </c>
      <c r="B45">
        <v>24</v>
      </c>
      <c r="C45">
        <v>94</v>
      </c>
      <c r="D45">
        <v>14</v>
      </c>
      <c r="E45">
        <v>74</v>
      </c>
    </row>
    <row r="46" spans="1:5">
      <c r="A46">
        <v>64</v>
      </c>
      <c r="B46">
        <v>22</v>
      </c>
      <c r="C46">
        <v>92</v>
      </c>
      <c r="D46">
        <v>12</v>
      </c>
      <c r="E46">
        <v>72</v>
      </c>
    </row>
    <row r="47" spans="1:5">
      <c r="A47">
        <v>65</v>
      </c>
      <c r="B47">
        <v>20</v>
      </c>
      <c r="C47">
        <v>90</v>
      </c>
      <c r="D47">
        <v>10</v>
      </c>
      <c r="E47">
        <v>70</v>
      </c>
    </row>
    <row r="48" spans="1:5">
      <c r="A48">
        <v>66</v>
      </c>
      <c r="B48">
        <v>18</v>
      </c>
      <c r="C48">
        <v>88</v>
      </c>
      <c r="D48">
        <v>8</v>
      </c>
      <c r="E48">
        <v>68</v>
      </c>
    </row>
    <row r="49" spans="1:5">
      <c r="A49">
        <v>67</v>
      </c>
      <c r="B49">
        <v>16</v>
      </c>
      <c r="C49">
        <v>86</v>
      </c>
      <c r="D49">
        <v>6</v>
      </c>
      <c r="E49">
        <v>66</v>
      </c>
    </row>
    <row r="50" spans="1:5">
      <c r="A50">
        <v>68</v>
      </c>
      <c r="B50">
        <v>14</v>
      </c>
      <c r="C50">
        <v>84</v>
      </c>
      <c r="D50">
        <v>4</v>
      </c>
      <c r="E50">
        <v>64</v>
      </c>
    </row>
    <row r="51" spans="1:5">
      <c r="A51">
        <v>69</v>
      </c>
      <c r="B51">
        <v>12</v>
      </c>
      <c r="C51">
        <v>82</v>
      </c>
      <c r="D51">
        <v>2</v>
      </c>
      <c r="E51">
        <v>62</v>
      </c>
    </row>
    <row r="52" spans="1:5">
      <c r="A52">
        <v>70</v>
      </c>
      <c r="B52">
        <v>10</v>
      </c>
      <c r="C52">
        <v>80</v>
      </c>
      <c r="D52">
        <v>1</v>
      </c>
      <c r="E52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Ternium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Ezequiel A. Corral</dc:creator>
  <cp:keywords/>
  <dc:description/>
  <cp:lastModifiedBy/>
  <cp:revision/>
  <dcterms:created xsi:type="dcterms:W3CDTF">2023-12-06T17:15:41Z</dcterms:created>
  <dcterms:modified xsi:type="dcterms:W3CDTF">2026-06-03T02:53:21Z</dcterms:modified>
  <cp:category/>
  <cp:contentStatus/>
</cp:coreProperties>
</file>